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385" windowHeight="9660" tabRatio="786" activeTab="5"/>
  </bookViews>
  <sheets>
    <sheet name="Stepper Card" sheetId="1" r:id="rId1"/>
    <sheet name="Sheet1" sheetId="10" r:id="rId2"/>
    <sheet name="Atmel" sheetId="30" r:id="rId3"/>
    <sheet name="ADC" sheetId="33" r:id="rId4"/>
    <sheet name="Fan speed controller" sheetId="11" r:id="rId5"/>
    <sheet name="L6470" sheetId="9" r:id="rId6"/>
    <sheet name="Virtual move" sheetId="35" r:id="rId7"/>
    <sheet name="Galvo Res" sheetId="36" r:id="rId8"/>
    <sheet name="PCB" sheetId="20" r:id="rId9"/>
    <sheet name="Objective Changer" sheetId="12" r:id="rId10"/>
    <sheet name="Power" sheetId="5" r:id="rId11"/>
    <sheet name="Joysitcks" sheetId="4" r:id="rId12"/>
    <sheet name="3D joystick" sheetId="6" r:id="rId13"/>
    <sheet name="USB" sheetId="3" r:id="rId14"/>
    <sheet name="Hobby Servo" sheetId="2" r:id="rId15"/>
    <sheet name="OpAmp" sheetId="7" r:id="rId16"/>
    <sheet name="Filters" sheetId="8" r:id="rId17"/>
    <sheet name="DC_DC Converters" sheetId="31" r:id="rId18"/>
    <sheet name="Line Drver" sheetId="32" r:id="rId19"/>
  </sheets>
  <definedNames>
    <definedName name="_R1__k">OpAmp!$C$5</definedName>
    <definedName name="_R2__k">OpAmp!$C$6</definedName>
    <definedName name="center">Sheet1!$I$17</definedName>
    <definedName name="MAX_SPEED">Joysitcks!$F$3</definedName>
    <definedName name="max_speed_div">Joysitcks!$E$3</definedName>
    <definedName name="MAX_SPEEP">'Stepper Card'!$H$10</definedName>
    <definedName name="Max_val">'3D joystick'!$D$5</definedName>
    <definedName name="Multiple">'Objective Changer'!$K$3</definedName>
    <definedName name="nanos_npc">'Stepper Card'!$K$3</definedName>
    <definedName name="nanos_spe">'Stepper Card'!$M$3</definedName>
    <definedName name="Rd1_">'Fan speed controller'!#REF!</definedName>
    <definedName name="Rd2_">'Fan speed controller'!$D$8</definedName>
    <definedName name="speed_knob">Joysitcks!$O$22</definedName>
    <definedName name="Tick_ns">'L6470'!$C$3</definedName>
    <definedName name="Vin">OpAmp!$C$4</definedName>
    <definedName name="x">ADC!$J$22</definedName>
  </definedNames>
  <calcPr calcId="152511"/>
</workbook>
</file>

<file path=xl/calcChain.xml><?xml version="1.0" encoding="utf-8"?>
<calcChain xmlns="http://schemas.openxmlformats.org/spreadsheetml/2006/main">
  <c r="C43" i="9" l="1"/>
  <c r="D43" i="9"/>
  <c r="D40" i="9"/>
  <c r="M29" i="9" l="1"/>
  <c r="L29" i="9"/>
  <c r="L27" i="9"/>
  <c r="I38" i="9"/>
  <c r="L14" i="9" l="1"/>
  <c r="L7" i="9"/>
  <c r="C17" i="31" l="1"/>
  <c r="D12" i="35" l="1"/>
  <c r="D11" i="35"/>
  <c r="E12" i="35"/>
  <c r="E11" i="35"/>
  <c r="C11" i="35"/>
  <c r="C12" i="35"/>
  <c r="G11" i="35"/>
  <c r="E9" i="35"/>
  <c r="D8" i="35"/>
  <c r="C17" i="35" l="1"/>
  <c r="C13" i="35"/>
  <c r="C14" i="35" s="1"/>
  <c r="C15" i="35"/>
  <c r="C16" i="35" s="1"/>
  <c r="E7" i="9"/>
  <c r="C18" i="35" l="1"/>
  <c r="C7" i="33"/>
  <c r="D25" i="33"/>
  <c r="I6" i="33"/>
  <c r="C25" i="33"/>
  <c r="C26" i="33" s="1"/>
  <c r="C27" i="33" s="1"/>
  <c r="C28" i="33" s="1"/>
  <c r="C21" i="35" l="1"/>
  <c r="F21" i="35"/>
  <c r="C22" i="35"/>
  <c r="F22" i="35"/>
  <c r="J23" i="33"/>
  <c r="K7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J6" i="11"/>
  <c r="J5" i="11"/>
  <c r="H8" i="33"/>
  <c r="H9" i="33" s="1"/>
  <c r="H10" i="33" s="1"/>
  <c r="H11" i="33" s="1"/>
  <c r="H12" i="33" s="1"/>
  <c r="H13" i="33" s="1"/>
  <c r="H14" i="33" s="1"/>
  <c r="H15" i="33" s="1"/>
  <c r="H16" i="33" s="1"/>
  <c r="H17" i="33" s="1"/>
  <c r="H18" i="33" s="1"/>
  <c r="H19" i="33" s="1"/>
  <c r="H7" i="33"/>
  <c r="C8" i="33"/>
  <c r="C14" i="33" s="1"/>
  <c r="C15" i="33" s="1"/>
  <c r="C16" i="33" s="1"/>
  <c r="C17" i="33" s="1"/>
  <c r="C18" i="33" s="1"/>
  <c r="C19" i="33" l="1"/>
  <c r="C20" i="33" s="1"/>
  <c r="C21" i="33" s="1"/>
  <c r="F34" i="12"/>
  <c r="F33" i="12"/>
  <c r="F32" i="12"/>
  <c r="F30" i="12"/>
  <c r="N50" i="4" l="1"/>
  <c r="N48" i="4"/>
  <c r="I47" i="4"/>
  <c r="K50" i="4" s="1"/>
  <c r="K48" i="4" l="1"/>
  <c r="J23" i="10"/>
  <c r="J22" i="10"/>
  <c r="J21" i="10"/>
  <c r="I17" i="10"/>
  <c r="I23" i="10"/>
  <c r="I22" i="10"/>
  <c r="D5" i="9" l="1"/>
  <c r="D35" i="9" s="1"/>
  <c r="H11" i="9"/>
  <c r="D25" i="12" l="1"/>
  <c r="G25" i="12"/>
  <c r="F25" i="12"/>
  <c r="D7" i="9" l="1"/>
  <c r="G7" i="9"/>
  <c r="I7" i="9"/>
  <c r="J7" i="9"/>
  <c r="H7" i="9"/>
  <c r="H27" i="12" l="1"/>
  <c r="H25" i="12"/>
  <c r="J32" i="9" l="1"/>
  <c r="J25" i="9"/>
  <c r="J24" i="9"/>
  <c r="J14" i="9"/>
  <c r="J17" i="9" s="1"/>
  <c r="J9" i="9"/>
  <c r="J28" i="9"/>
  <c r="J19" i="9" l="1"/>
  <c r="J20" i="9" s="1"/>
  <c r="J23" i="9"/>
  <c r="J18" i="9"/>
  <c r="J29" i="9" s="1"/>
  <c r="H6" i="12"/>
  <c r="J27" i="9" l="1"/>
  <c r="J31" i="9" s="1"/>
  <c r="J21" i="9"/>
  <c r="J8" i="9"/>
  <c r="C7" i="32"/>
  <c r="G4" i="32" s="1"/>
  <c r="G7" i="32" s="1"/>
  <c r="M6" i="31"/>
  <c r="H6" i="31"/>
  <c r="C6" i="31"/>
  <c r="E22" i="12" l="1"/>
  <c r="F22" i="12"/>
  <c r="G22" i="12"/>
  <c r="D22" i="12"/>
  <c r="I24" i="9" l="1"/>
  <c r="H12" i="12" l="1"/>
  <c r="H5" i="12"/>
  <c r="H3" i="12"/>
  <c r="G12" i="12"/>
  <c r="G5" i="12"/>
  <c r="G6" i="12" s="1"/>
  <c r="G3" i="12"/>
  <c r="E12" i="12"/>
  <c r="E5" i="12"/>
  <c r="E6" i="12" s="1"/>
  <c r="E3" i="12"/>
  <c r="F12" i="12"/>
  <c r="F5" i="12"/>
  <c r="F6" i="12" s="1"/>
  <c r="F3" i="12"/>
  <c r="H7" i="12" l="1"/>
  <c r="H13" i="12"/>
  <c r="H14" i="12" s="1"/>
  <c r="G7" i="12"/>
  <c r="G13" i="12"/>
  <c r="E7" i="12"/>
  <c r="E13" i="12"/>
  <c r="F7" i="12"/>
  <c r="F13" i="12"/>
  <c r="D5" i="12"/>
  <c r="H8" i="12" l="1"/>
  <c r="H15" i="12" s="1"/>
  <c r="H22" i="12"/>
  <c r="H9" i="12"/>
  <c r="H19" i="12"/>
  <c r="H16" i="12"/>
  <c r="H18" i="12"/>
  <c r="H20" i="12"/>
  <c r="G18" i="12"/>
  <c r="G14" i="12"/>
  <c r="G20" i="12" s="1"/>
  <c r="G16" i="12"/>
  <c r="G9" i="12"/>
  <c r="G19" i="12"/>
  <c r="G8" i="12"/>
  <c r="G15" i="12" s="1"/>
  <c r="E18" i="12"/>
  <c r="E14" i="12"/>
  <c r="E20" i="12" s="1"/>
  <c r="E9" i="12"/>
  <c r="E19" i="12"/>
  <c r="E8" i="12"/>
  <c r="E15" i="12" s="1"/>
  <c r="E16" i="12"/>
  <c r="F18" i="12"/>
  <c r="F14" i="12"/>
  <c r="F20" i="12" s="1"/>
  <c r="F9" i="12"/>
  <c r="F19" i="12"/>
  <c r="F8" i="12"/>
  <c r="F15" i="12" s="1"/>
  <c r="F16" i="12"/>
  <c r="D3" i="12"/>
  <c r="D6" i="12"/>
  <c r="E32" i="9"/>
  <c r="D12" i="12"/>
  <c r="I14" i="9"/>
  <c r="D13" i="12" l="1"/>
  <c r="D18" i="12" s="1"/>
  <c r="D7" i="12"/>
  <c r="D14" i="12"/>
  <c r="D20" i="12" s="1"/>
  <c r="D16" i="12" l="1"/>
  <c r="D9" i="12"/>
  <c r="D19" i="12"/>
  <c r="D8" i="12"/>
  <c r="D15" i="12" s="1"/>
  <c r="I13" i="11"/>
  <c r="M6" i="11"/>
  <c r="M7" i="11"/>
  <c r="M8" i="11"/>
  <c r="D11" i="11" l="1"/>
  <c r="D12" i="11" s="1"/>
  <c r="D3" i="11"/>
  <c r="J7" i="11"/>
  <c r="J8" i="11"/>
  <c r="J9" i="11"/>
  <c r="J10" i="11"/>
  <c r="J11" i="11"/>
  <c r="D5" i="11" l="1"/>
  <c r="D7" i="11" s="1"/>
  <c r="L6" i="11"/>
  <c r="F31" i="9"/>
  <c r="K8" i="10" l="1"/>
  <c r="F8" i="10"/>
  <c r="G8" i="10"/>
  <c r="K6" i="10"/>
  <c r="K7" i="10"/>
  <c r="K5" i="10"/>
  <c r="H6" i="10"/>
  <c r="I6" i="10" s="1"/>
  <c r="H7" i="10"/>
  <c r="I7" i="10"/>
  <c r="I5" i="10"/>
  <c r="H5" i="10"/>
  <c r="G5" i="10"/>
  <c r="G6" i="10"/>
  <c r="G7" i="10"/>
  <c r="G4" i="10"/>
  <c r="F6" i="10"/>
  <c r="F7" i="10"/>
  <c r="F5" i="10"/>
  <c r="D28" i="9"/>
  <c r="D32" i="9" s="1"/>
  <c r="E28" i="9"/>
  <c r="F28" i="9"/>
  <c r="G28" i="9"/>
  <c r="I28" i="9"/>
  <c r="G32" i="9"/>
  <c r="I32" i="9"/>
  <c r="M2" i="1"/>
  <c r="G6" i="9"/>
  <c r="I6" i="9"/>
  <c r="H6" i="9"/>
  <c r="H28" i="9" s="1"/>
  <c r="H32" i="9" s="1"/>
  <c r="J2" i="1"/>
  <c r="D24" i="9" l="1"/>
  <c r="I25" i="9"/>
  <c r="H25" i="9"/>
  <c r="H24" i="9"/>
  <c r="H14" i="9"/>
  <c r="I9" i="9"/>
  <c r="H9" i="9"/>
  <c r="G25" i="9"/>
  <c r="G24" i="9"/>
  <c r="G14" i="9"/>
  <c r="G9" i="9"/>
  <c r="F14" i="9"/>
  <c r="F9" i="9"/>
  <c r="E24" i="9"/>
  <c r="E14" i="9"/>
  <c r="E9" i="9"/>
  <c r="D22" i="9"/>
  <c r="D9" i="9"/>
  <c r="I17" i="9" l="1"/>
  <c r="G17" i="9"/>
  <c r="E17" i="9"/>
  <c r="E18" i="9" s="1"/>
  <c r="E29" i="9" s="1"/>
  <c r="H17" i="9"/>
  <c r="F17" i="9"/>
  <c r="G23" i="9"/>
  <c r="F23" i="9"/>
  <c r="D14" i="9"/>
  <c r="D17" i="9" s="1"/>
  <c r="I19" i="9" l="1"/>
  <c r="I20" i="9" s="1"/>
  <c r="I18" i="9"/>
  <c r="F19" i="9"/>
  <c r="F20" i="9" s="1"/>
  <c r="F21" i="9" s="1"/>
  <c r="F18" i="9"/>
  <c r="F29" i="9" s="1"/>
  <c r="H23" i="9"/>
  <c r="H18" i="9"/>
  <c r="G19" i="9"/>
  <c r="G20" i="9" s="1"/>
  <c r="G18" i="9"/>
  <c r="E27" i="9"/>
  <c r="E31" i="9" s="1"/>
  <c r="H19" i="9"/>
  <c r="H20" i="9" s="1"/>
  <c r="I23" i="9"/>
  <c r="E19" i="9"/>
  <c r="E20" i="9" s="1"/>
  <c r="E23" i="9"/>
  <c r="D18" i="9"/>
  <c r="D29" i="9" s="1"/>
  <c r="C19" i="5"/>
  <c r="G21" i="9" l="1"/>
  <c r="G8" i="9"/>
  <c r="E21" i="9"/>
  <c r="E8" i="9"/>
  <c r="I21" i="9"/>
  <c r="I8" i="9"/>
  <c r="G29" i="9"/>
  <c r="G27" i="9"/>
  <c r="G31" i="9" s="1"/>
  <c r="D27" i="9"/>
  <c r="D31" i="9" s="1"/>
  <c r="H29" i="9"/>
  <c r="H27" i="9"/>
  <c r="H31" i="9" s="1"/>
  <c r="H21" i="9"/>
  <c r="H8" i="9"/>
  <c r="I29" i="9"/>
  <c r="I27" i="9"/>
  <c r="I31" i="9" s="1"/>
  <c r="D19" i="9"/>
  <c r="D20" i="9" s="1"/>
  <c r="D23" i="9"/>
  <c r="G5" i="1"/>
  <c r="D21" i="9" l="1"/>
  <c r="D8" i="9"/>
  <c r="D13" i="8"/>
  <c r="D12" i="8"/>
  <c r="C11" i="7" l="1"/>
  <c r="C7" i="7"/>
  <c r="C12" i="7" l="1"/>
  <c r="I43" i="2"/>
  <c r="F7" i="5" l="1"/>
  <c r="Q5" i="4" l="1"/>
  <c r="Q6" i="4"/>
  <c r="Q7" i="4"/>
  <c r="Q8" i="4"/>
  <c r="Q9" i="4"/>
  <c r="Q10" i="4"/>
  <c r="Q4" i="4"/>
  <c r="R8" i="4"/>
  <c r="R4" i="4" l="1"/>
  <c r="R10" i="4"/>
  <c r="R9" i="4"/>
  <c r="R7" i="4"/>
  <c r="R6" i="4"/>
  <c r="R5" i="4"/>
  <c r="E7" i="5"/>
  <c r="D9" i="5"/>
  <c r="D5" i="5" l="1"/>
  <c r="R29" i="4" l="1"/>
  <c r="S29" i="4" s="1"/>
  <c r="Q29" i="4"/>
  <c r="P19" i="4" l="1"/>
  <c r="Q19" i="4" s="1"/>
  <c r="S14" i="4"/>
  <c r="L16" i="1" l="1"/>
  <c r="L17" i="1"/>
  <c r="L18" i="1"/>
  <c r="L19" i="1"/>
  <c r="L20" i="1"/>
  <c r="L21" i="1"/>
  <c r="L15" i="1"/>
  <c r="K11" i="1" l="1"/>
  <c r="K10" i="1"/>
  <c r="I10" i="1" l="1"/>
  <c r="K23" i="1" l="1"/>
  <c r="K24" i="1"/>
  <c r="K25" i="1"/>
  <c r="K26" i="1"/>
  <c r="K27" i="1"/>
  <c r="K28" i="1"/>
  <c r="J25" i="1"/>
  <c r="J26" i="1"/>
  <c r="J27" i="1"/>
  <c r="J28" i="1"/>
  <c r="J24" i="1"/>
  <c r="H25" i="1"/>
  <c r="H26" i="1"/>
  <c r="H27" i="1"/>
  <c r="H28" i="1"/>
  <c r="H24" i="1"/>
  <c r="F25" i="1"/>
  <c r="F26" i="1"/>
  <c r="F27" i="1"/>
  <c r="F28" i="1"/>
  <c r="F24" i="1"/>
  <c r="I24" i="1"/>
  <c r="I25" i="1"/>
  <c r="I26" i="1"/>
  <c r="I27" i="1"/>
  <c r="I28" i="1"/>
  <c r="I23" i="1"/>
  <c r="O4" i="3" l="1"/>
  <c r="K8" i="3"/>
  <c r="K6" i="3"/>
  <c r="G6" i="3" l="1"/>
  <c r="G7" i="3" s="1"/>
  <c r="H8" i="3" s="1"/>
  <c r="C6" i="3" l="1"/>
  <c r="J43" i="2" l="1"/>
  <c r="E46" i="2"/>
  <c r="E47" i="2" s="1"/>
  <c r="P28" i="2" l="1"/>
  <c r="P29" i="2"/>
  <c r="P30" i="2"/>
  <c r="P31" i="2"/>
  <c r="P32" i="2"/>
  <c r="P34" i="2"/>
  <c r="P35" i="2"/>
  <c r="P36" i="2"/>
  <c r="P37" i="2"/>
  <c r="P38" i="2"/>
  <c r="P39" i="2"/>
  <c r="P33" i="2"/>
  <c r="K29" i="2"/>
  <c r="K30" i="2"/>
  <c r="K31" i="2"/>
  <c r="K32" i="2"/>
  <c r="K33" i="2"/>
  <c r="K34" i="2"/>
  <c r="K35" i="2"/>
  <c r="K36" i="2"/>
  <c r="K37" i="2"/>
  <c r="K38" i="2"/>
  <c r="K39" i="2"/>
  <c r="K28" i="2"/>
  <c r="C37" i="2" l="1"/>
  <c r="C32" i="2"/>
  <c r="C27" i="2"/>
  <c r="C31" i="2"/>
  <c r="C28" i="2"/>
  <c r="C34" i="2" s="1"/>
  <c r="C33" i="2" l="1"/>
  <c r="C35" i="2"/>
  <c r="C36" i="2" s="1"/>
  <c r="L2" i="1"/>
  <c r="K4" i="1" l="1"/>
  <c r="L4" i="1"/>
  <c r="G4" i="1"/>
  <c r="E4" i="1"/>
  <c r="D4" i="1"/>
  <c r="N3" i="1"/>
  <c r="N2" i="1"/>
  <c r="L3" i="1"/>
  <c r="K3" i="1"/>
  <c r="K2" i="1"/>
  <c r="G3" i="1"/>
  <c r="E3" i="1" s="1"/>
  <c r="I3" i="1" s="1"/>
  <c r="D3" i="1"/>
  <c r="D2" i="1"/>
  <c r="I2" i="1" s="1"/>
  <c r="I4" i="1" l="1"/>
  <c r="J4" i="1" s="1"/>
  <c r="M4" i="1" s="1"/>
  <c r="N4" i="1" s="1"/>
  <c r="J3" i="1"/>
  <c r="M3" i="1" s="1"/>
  <c r="J4" i="11"/>
</calcChain>
</file>

<file path=xl/comments1.xml><?xml version="1.0" encoding="utf-8"?>
<comments xmlns="http://schemas.openxmlformats.org/spreadsheetml/2006/main">
  <authors>
    <author>Author</author>
  </authors>
  <commentList>
    <comment ref="R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coef can be changed with push button high low speed</t>
        </r>
      </text>
    </comment>
  </commentList>
</comments>
</file>

<file path=xl/sharedStrings.xml><?xml version="1.0" encoding="utf-8"?>
<sst xmlns="http://schemas.openxmlformats.org/spreadsheetml/2006/main" count="656" uniqueCount="454">
  <si>
    <t>Stepper PN</t>
  </si>
  <si>
    <t>PLS stage</t>
  </si>
  <si>
    <t>step/ rev</t>
  </si>
  <si>
    <t xml:space="preserve">microsteps </t>
  </si>
  <si>
    <t>B scope stage</t>
  </si>
  <si>
    <t>stepper (step/rev)</t>
  </si>
  <si>
    <t>Gearbox</t>
  </si>
  <si>
    <t>Counts_per_Unit (stepper/encoder)</t>
  </si>
  <si>
    <t>Threaded rod pitch (um/rev)</t>
  </si>
  <si>
    <t>Threaded rod pitch (inch/rev)</t>
  </si>
  <si>
    <t>Linear Travel / Step</t>
  </si>
  <si>
    <t>Encoder Res (nm/count)</t>
  </si>
  <si>
    <t>Stepper Total (step/um)</t>
  </si>
  <si>
    <t>Encoder (counts/um)</t>
  </si>
  <si>
    <t>Stepper total (nm/step)</t>
  </si>
  <si>
    <t>Counts_per_Unit x 100000</t>
  </si>
  <si>
    <t>Nanos stage</t>
  </si>
  <si>
    <t>AD Val</t>
  </si>
  <si>
    <t>Position Val</t>
  </si>
  <si>
    <t>PWM Mode</t>
  </si>
  <si>
    <t>clock (Hz)</t>
  </si>
  <si>
    <t>clock (us)</t>
  </si>
  <si>
    <t>period(ms)</t>
  </si>
  <si>
    <t>period(us)</t>
  </si>
  <si>
    <t>counts per period</t>
  </si>
  <si>
    <t>high pulse 1ms</t>
  </si>
  <si>
    <t>high pulse 2ms</t>
  </si>
  <si>
    <t>resolution</t>
  </si>
  <si>
    <t>system clock</t>
  </si>
  <si>
    <t>period Hz</t>
  </si>
  <si>
    <t>center</t>
  </si>
  <si>
    <t>Flash calc</t>
  </si>
  <si>
    <t>Channel</t>
  </si>
  <si>
    <t>RAM</t>
  </si>
  <si>
    <t>Port</t>
  </si>
  <si>
    <t>array pointer</t>
  </si>
  <si>
    <t>EEPROM</t>
  </si>
  <si>
    <t>current detector</t>
  </si>
  <si>
    <t>Vin</t>
  </si>
  <si>
    <t>sense R</t>
  </si>
  <si>
    <t>Vout</t>
  </si>
  <si>
    <t>I</t>
  </si>
  <si>
    <t>Vamp</t>
  </si>
  <si>
    <t>cutoff</t>
  </si>
  <si>
    <t>C</t>
  </si>
  <si>
    <t>C2</t>
  </si>
  <si>
    <t>C3</t>
  </si>
  <si>
    <t>Voltage DC/DC</t>
  </si>
  <si>
    <t>R1</t>
  </si>
  <si>
    <t>R2</t>
  </si>
  <si>
    <t>Rsense</t>
  </si>
  <si>
    <t>Vdrop</t>
  </si>
  <si>
    <t>Gain</t>
  </si>
  <si>
    <t>Current sense</t>
  </si>
  <si>
    <t>ad vals</t>
  </si>
  <si>
    <t>Vmax</t>
  </si>
  <si>
    <t>largest val</t>
  </si>
  <si>
    <t>v/div</t>
  </si>
  <si>
    <t>Vthreshold</t>
  </si>
  <si>
    <t>val</t>
  </si>
  <si>
    <t>duty range</t>
  </si>
  <si>
    <t>CCW</t>
  </si>
  <si>
    <t>CW</t>
  </si>
  <si>
    <t>Center</t>
  </si>
  <si>
    <t>PLS steps</t>
  </si>
  <si>
    <t>stepper</t>
  </si>
  <si>
    <t>encoder</t>
  </si>
  <si>
    <t>e nm</t>
  </si>
  <si>
    <t>delta steps</t>
  </si>
  <si>
    <t>delat e counts</t>
  </si>
  <si>
    <t>idea e</t>
  </si>
  <si>
    <t>tot</t>
  </si>
  <si>
    <t>L6470HTR</t>
  </si>
  <si>
    <t>speed</t>
  </si>
  <si>
    <t>speed(step/sec)</t>
  </si>
  <si>
    <t>MAX_SPEED</t>
  </si>
  <si>
    <t>max_speed</t>
  </si>
  <si>
    <t>MAX_SPEED x 1024</t>
  </si>
  <si>
    <t>joystick val (0-511-1023)</t>
  </si>
  <si>
    <t>APEM</t>
  </si>
  <si>
    <t>ShuttleExpress</t>
  </si>
  <si>
    <t>speed 0-7</t>
  </si>
  <si>
    <t>speed out</t>
  </si>
  <si>
    <t>out_wheel_val</t>
  </si>
  <si>
    <t>Mapping</t>
  </si>
  <si>
    <t>Type of controls</t>
  </si>
  <si>
    <t>pushbutton</t>
  </si>
  <si>
    <t>Type ID</t>
  </si>
  <si>
    <t>Variable</t>
  </si>
  <si>
    <t>Value</t>
  </si>
  <si>
    <t>0 or 1</t>
  </si>
  <si>
    <t>0-max</t>
  </si>
  <si>
    <t>Delta</t>
  </si>
  <si>
    <t>LED</t>
  </si>
  <si>
    <t>Type dir</t>
  </si>
  <si>
    <t>out</t>
  </si>
  <si>
    <t>in</t>
  </si>
  <si>
    <t>Stepper Card</t>
  </si>
  <si>
    <t>0 to max_speed</t>
  </si>
  <si>
    <t>Shutter</t>
  </si>
  <si>
    <t>Servo</t>
  </si>
  <si>
    <t>Value 1</t>
  </si>
  <si>
    <t>Value 2</t>
  </si>
  <si>
    <t>dir</t>
  </si>
  <si>
    <t>-</t>
  </si>
  <si>
    <t>Hobby Servo</t>
  </si>
  <si>
    <t>Control</t>
  </si>
  <si>
    <t>Control ID</t>
  </si>
  <si>
    <t>B1</t>
  </si>
  <si>
    <t>B2</t>
  </si>
  <si>
    <t>B3</t>
  </si>
  <si>
    <t>B4</t>
  </si>
  <si>
    <t>B5</t>
  </si>
  <si>
    <t>outer_wheel</t>
  </si>
  <si>
    <t>inner_wheel</t>
  </si>
  <si>
    <t>Type of control</t>
  </si>
  <si>
    <t>dir 0 or 1</t>
  </si>
  <si>
    <t>0 - 255</t>
  </si>
  <si>
    <t>0 - 7</t>
  </si>
  <si>
    <t>outer_wheel_val</t>
  </si>
  <si>
    <t>Coef</t>
  </si>
  <si>
    <t>speed out outer wheel</t>
  </si>
  <si>
    <t>inner_wheel_val</t>
  </si>
  <si>
    <t>Command Type</t>
  </si>
  <si>
    <t>run</t>
  </si>
  <si>
    <t>goto</t>
  </si>
  <si>
    <t>toggle</t>
  </si>
  <si>
    <t>speed_coef</t>
  </si>
  <si>
    <t>high/low</t>
  </si>
  <si>
    <t>(0-255)</t>
  </si>
  <si>
    <t>coef</t>
  </si>
  <si>
    <t>goto steps add</t>
  </si>
  <si>
    <t>0x0020</t>
  </si>
  <si>
    <t>PID</t>
  </si>
  <si>
    <t>Thorlabs 3 Axis</t>
  </si>
  <si>
    <t>0x2005</t>
  </si>
  <si>
    <t>Knob1</t>
  </si>
  <si>
    <t>Knob2</t>
  </si>
  <si>
    <t>Knob3</t>
  </si>
  <si>
    <t>Speed</t>
  </si>
  <si>
    <t>LED1</t>
  </si>
  <si>
    <t>LED2</t>
  </si>
  <si>
    <t>LED3</t>
  </si>
  <si>
    <t>0-255</t>
  </si>
  <si>
    <t>knob value</t>
  </si>
  <si>
    <t>0x0060</t>
  </si>
  <si>
    <t>js_left_right</t>
  </si>
  <si>
    <t>js_forward_backward</t>
  </si>
  <si>
    <t>js_rotate</t>
  </si>
  <si>
    <t>js_b_left</t>
  </si>
  <si>
    <t>js_but_right</t>
  </si>
  <si>
    <t>b1 (top left)</t>
  </si>
  <si>
    <t>b2 (top right)</t>
  </si>
  <si>
    <t>b3</t>
  </si>
  <si>
    <t>b4</t>
  </si>
  <si>
    <t>b5</t>
  </si>
  <si>
    <t>b6</t>
  </si>
  <si>
    <t>b7</t>
  </si>
  <si>
    <t>b8</t>
  </si>
  <si>
    <t>b9</t>
  </si>
  <si>
    <t>b10</t>
  </si>
  <si>
    <t>0-512</t>
  </si>
  <si>
    <t>knob value (0-1023)</t>
  </si>
  <si>
    <t>dead_band</t>
  </si>
  <si>
    <t>0-4095</t>
  </si>
  <si>
    <t>js_out_val</t>
  </si>
  <si>
    <t>USB top</t>
  </si>
  <si>
    <t>USB middle</t>
  </si>
  <si>
    <t>USB bottom</t>
  </si>
  <si>
    <t>PID_L</t>
  </si>
  <si>
    <t>PID_H</t>
  </si>
  <si>
    <t>…</t>
  </si>
  <si>
    <t>Cx_map</t>
  </si>
  <si>
    <t>C1_map</t>
  </si>
  <si>
    <t>C2_map</t>
  </si>
  <si>
    <t>slot 1</t>
  </si>
  <si>
    <t>not mapped</t>
  </si>
  <si>
    <t>slot 2</t>
  </si>
  <si>
    <t>slot 3</t>
  </si>
  <si>
    <t>slot 4</t>
  </si>
  <si>
    <t>slot 5</t>
  </si>
  <si>
    <t>slot 6</t>
  </si>
  <si>
    <t>PC</t>
  </si>
  <si>
    <t>each slot has upto 4 channel, use top 2 bits for chan</t>
  </si>
  <si>
    <t>5V USB LT8614</t>
  </si>
  <si>
    <t>Switching frequency</t>
  </si>
  <si>
    <t>Rt(k)</t>
  </si>
  <si>
    <t>freq (MHz)</t>
  </si>
  <si>
    <t>PID not set = 255&amp;255 = 0xFFFF</t>
  </si>
  <si>
    <t>max_speed_div</t>
  </si>
  <si>
    <t>0-1023</t>
  </si>
  <si>
    <t>inner wheel</t>
  </si>
  <si>
    <t>js_run_counter</t>
  </si>
  <si>
    <t>js_run_counter (16 slow-180 fast)</t>
  </si>
  <si>
    <t>slow</t>
  </si>
  <si>
    <t>fast</t>
  </si>
  <si>
    <t>Max_val</t>
  </si>
  <si>
    <t>3d joystick</t>
  </si>
  <si>
    <t>stepper (0-1024) 1024 slowest</t>
  </si>
  <si>
    <t>this give 5.06V</t>
  </si>
  <si>
    <t>Used to raise voltage of dac on SAMD21</t>
  </si>
  <si>
    <t>DAC res (bits)</t>
  </si>
  <si>
    <t>diff values</t>
  </si>
  <si>
    <t>DAC res out (mV)</t>
  </si>
  <si>
    <t>R1 (Ohm)</t>
  </si>
  <si>
    <t>R2 (Ohm)</t>
  </si>
  <si>
    <t>Knob values</t>
  </si>
  <si>
    <t>delta</t>
  </si>
  <si>
    <t>Pi Filter</t>
  </si>
  <si>
    <t>Cut-Off Frequency</t>
  </si>
  <si>
    <t>F = 1/(2*PI()*SQRT(L*C))</t>
  </si>
  <si>
    <t>Cut off (Hz)</t>
  </si>
  <si>
    <t>L (H)</t>
  </si>
  <si>
    <t>C (F)</t>
  </si>
  <si>
    <t>Z (Ohms)</t>
  </si>
  <si>
    <t>Characteristic Impedance</t>
  </si>
  <si>
    <t>Z = SQRT(L/C)</t>
  </si>
  <si>
    <t>LM317</t>
  </si>
  <si>
    <t>Vreff</t>
  </si>
  <si>
    <t>SpeedVal</t>
  </si>
  <si>
    <t>LNR</t>
  </si>
  <si>
    <t xml:space="preserve">Bergamo X </t>
  </si>
  <si>
    <t>Tick(s)</t>
  </si>
  <si>
    <t>Thread pitch (um/rev)</t>
  </si>
  <si>
    <t>Linear travel/step (um/step)</t>
  </si>
  <si>
    <t>Stage velocity max (mm/s)</t>
  </si>
  <si>
    <t>Stage velocity max (um/s)</t>
  </si>
  <si>
    <t>gearbox</t>
  </si>
  <si>
    <t>Velocity Stability (mm/s)</t>
  </si>
  <si>
    <t>Encoder Res (um)</t>
  </si>
  <si>
    <t>PLS (Nanos)</t>
  </si>
  <si>
    <t>PLS (standard)</t>
  </si>
  <si>
    <t>Bidirectional Repeatability (um)</t>
  </si>
  <si>
    <t>Min Achievable Incremental Movement (um)</t>
  </si>
  <si>
    <t>Home Location Accuracy (um)</t>
  </si>
  <si>
    <t>?</t>
  </si>
  <si>
    <t>NA</t>
  </si>
  <si>
    <t>Bergamo Y</t>
  </si>
  <si>
    <t xml:space="preserve">Bergamo Z </t>
  </si>
  <si>
    <t>Max Speed steps/sec</t>
  </si>
  <si>
    <t>Stepper steps/rev</t>
  </si>
  <si>
    <t>ustep setting for drive IC</t>
  </si>
  <si>
    <t>Total Stepper steps/rev</t>
  </si>
  <si>
    <t>Min Repeatable Incremental Movement (um)</t>
  </si>
  <si>
    <r>
      <t>Linear travel/step (nm/step) &gt;</t>
    </r>
    <r>
      <rPr>
        <i/>
        <sz val="11"/>
        <color theme="1"/>
        <rFont val="Calibri"/>
        <family val="2"/>
        <scheme val="minor"/>
      </rPr>
      <t>smallest movement possible</t>
    </r>
    <r>
      <rPr>
        <sz val="11"/>
        <color theme="1"/>
        <rFont val="Calibri"/>
        <family val="2"/>
        <scheme val="minor"/>
      </rPr>
      <t>&lt;</t>
    </r>
  </si>
  <si>
    <t>goto (um)</t>
  </si>
  <si>
    <t>Stepper counts</t>
  </si>
  <si>
    <t>Encoder counts</t>
  </si>
  <si>
    <t>nm_per_count</t>
  </si>
  <si>
    <t>Step</t>
  </si>
  <si>
    <t>enc counts</t>
  </si>
  <si>
    <t>PLS NANOS with KST101</t>
  </si>
  <si>
    <t>Rd2</t>
  </si>
  <si>
    <t>Rd1</t>
  </si>
  <si>
    <t>Vdd (v)</t>
  </si>
  <si>
    <t>Thermistor data</t>
  </si>
  <si>
    <t>R (k ohm)</t>
  </si>
  <si>
    <t>f</t>
  </si>
  <si>
    <t>Turn on here need 6V 50%</t>
  </si>
  <si>
    <t>Dmin (%)</t>
  </si>
  <si>
    <t>V at Dmin</t>
  </si>
  <si>
    <t xml:space="preserve"> for 6V 50% duty</t>
  </si>
  <si>
    <t>Tstart</t>
  </si>
  <si>
    <t>Wanted duty cycle (%)</t>
  </si>
  <si>
    <t>Temperature delta range</t>
  </si>
  <si>
    <t>Slope cal</t>
  </si>
  <si>
    <t>Rfbk</t>
  </si>
  <si>
    <t>Av</t>
  </si>
  <si>
    <t>Rslope (ohm)</t>
  </si>
  <si>
    <t>Actual turn on temp at thermistor</t>
  </si>
  <si>
    <t xml:space="preserve"> PCB</t>
  </si>
  <si>
    <t>Heatsink</t>
  </si>
  <si>
    <t>V start</t>
  </si>
  <si>
    <t>Vfan</t>
  </si>
  <si>
    <t>nm_per_step</t>
  </si>
  <si>
    <t>Leadscrew (mm/rev)</t>
  </si>
  <si>
    <t>Leadscrew (um/rev)</t>
  </si>
  <si>
    <t>counts_per_unit</t>
  </si>
  <si>
    <t>Encoder CPR (counts/rev)</t>
  </si>
  <si>
    <t>Encoder (counts/rev)</t>
  </si>
  <si>
    <t>Encoder Res (um/counts)</t>
  </si>
  <si>
    <t>Encoder Res (nm/counts)</t>
  </si>
  <si>
    <t>Stepper steps</t>
  </si>
  <si>
    <t>Leadscrew (mm/step)</t>
  </si>
  <si>
    <t>Encoder best positioning (um)</t>
  </si>
  <si>
    <t>J</t>
  </si>
  <si>
    <t>K</t>
  </si>
  <si>
    <t>AC</t>
  </si>
  <si>
    <t>AB</t>
  </si>
  <si>
    <t>N</t>
  </si>
  <si>
    <t>Final Thickness = 0.062"</t>
  </si>
  <si>
    <t>mm</t>
  </si>
  <si>
    <t>Copper Weight = 1 oz (outer) / 1 oz (inner)</t>
  </si>
  <si>
    <t>Minimum trace width and spacing = 0.005"</t>
  </si>
  <si>
    <t xml:space="preserve">Minimum finished drill size = 0.008" </t>
  </si>
  <si>
    <t>Minimum annular ring = 0.006"</t>
  </si>
  <si>
    <t>Minimum slot width = 0.032"</t>
  </si>
  <si>
    <t>Minimum edge to copper = 0.010" (outer) / 0.012" (inner)</t>
  </si>
  <si>
    <t>PCB Standard Specifications</t>
  </si>
  <si>
    <t>0.254/0.3048</t>
  </si>
  <si>
    <t>ATSAM3X4C</t>
  </si>
  <si>
    <t>uC</t>
  </si>
  <si>
    <t>ATSAMS70</t>
  </si>
  <si>
    <t>ATSAM4S</t>
  </si>
  <si>
    <t>Cost @ 1</t>
  </si>
  <si>
    <t>Size</t>
  </si>
  <si>
    <t>9x9</t>
  </si>
  <si>
    <t>7x7</t>
  </si>
  <si>
    <t xml:space="preserve">84MHz </t>
  </si>
  <si>
    <t>Number of I/O</t>
  </si>
  <si>
    <t>Program Memory Size</t>
  </si>
  <si>
    <t>256KB (256K x 8)</t>
  </si>
  <si>
    <t>RAM Size</t>
  </si>
  <si>
    <t>64K x 8</t>
  </si>
  <si>
    <t>USB Speed</t>
  </si>
  <si>
    <t>High</t>
  </si>
  <si>
    <t>Full</t>
  </si>
  <si>
    <t>Uart</t>
  </si>
  <si>
    <t>Type</t>
  </si>
  <si>
    <t>M3</t>
  </si>
  <si>
    <t>M4</t>
  </si>
  <si>
    <t>M7</t>
  </si>
  <si>
    <t>120MHz</t>
  </si>
  <si>
    <t>512KB (512K x 8)</t>
  </si>
  <si>
    <t xml:space="preserve">128K x 8 </t>
  </si>
  <si>
    <t>Pitch</t>
  </si>
  <si>
    <t>100-ball TFBGA</t>
  </si>
  <si>
    <t>Package</t>
  </si>
  <si>
    <t>LFBGA100</t>
  </si>
  <si>
    <t xml:space="preserve">100-VFBGA </t>
  </si>
  <si>
    <t>300MHz</t>
  </si>
  <si>
    <t xml:space="preserve">512KB (512K x 8) </t>
  </si>
  <si>
    <t>256K x 8</t>
  </si>
  <si>
    <t>No Examples ASF</t>
  </si>
  <si>
    <t>SAMV71  Reset Handler</t>
  </si>
  <si>
    <t>pointer</t>
  </si>
  <si>
    <t>Address</t>
  </si>
  <si>
    <t>pSrc</t>
  </si>
  <si>
    <t>pDest</t>
  </si>
  <si>
    <t>Max Encoder Freq (Count/s)</t>
  </si>
  <si>
    <t>max speed steps/sec</t>
  </si>
  <si>
    <t>LTC3807EFE</t>
  </si>
  <si>
    <t>LTC3766EGN</t>
  </si>
  <si>
    <t>Rb (vout) (k)</t>
  </si>
  <si>
    <t xml:space="preserve">Rb (vout) </t>
  </si>
  <si>
    <t>Ra (gnd) (k)</t>
  </si>
  <si>
    <t xml:space="preserve">Ra (gnd) </t>
  </si>
  <si>
    <t>LT8471</t>
  </si>
  <si>
    <t>DC/DC</t>
  </si>
  <si>
    <t>Output current</t>
  </si>
  <si>
    <t>Vprog</t>
  </si>
  <si>
    <t>Isc (A)</t>
  </si>
  <si>
    <t>Rext</t>
  </si>
  <si>
    <t>On Processor</t>
  </si>
  <si>
    <t>VCC (thermistor)</t>
  </si>
  <si>
    <t>Used on galvo/res red box</t>
  </si>
  <si>
    <t>This was the original one we used</t>
  </si>
  <si>
    <t>This is the one we are using now</t>
  </si>
  <si>
    <t>Multiple</t>
  </si>
  <si>
    <t>Rotation 15:1</t>
  </si>
  <si>
    <t>distance from p1 to p2</t>
  </si>
  <si>
    <t>inch</t>
  </si>
  <si>
    <t>revolution from p1 to p2 (rev)</t>
  </si>
  <si>
    <t>time for move p1 to p2 we want (sec)</t>
  </si>
  <si>
    <t>move p1 to p2 rps</t>
  </si>
  <si>
    <t>Encoder counts per rev (counts /rev)</t>
  </si>
  <si>
    <t>motor</t>
  </si>
  <si>
    <t xml:space="preserve">goto (um) </t>
  </si>
  <si>
    <t>vel</t>
  </si>
  <si>
    <t>js_val</t>
  </si>
  <si>
    <t>js_3d</t>
  </si>
  <si>
    <t>JSGearHighMaxVel</t>
  </si>
  <si>
    <t>JSGearLowMaxVel</t>
  </si>
  <si>
    <t>dead band</t>
  </si>
  <si>
    <t>low</t>
  </si>
  <si>
    <t>high</t>
  </si>
  <si>
    <t>rpm</t>
  </si>
  <si>
    <t>distance traveled (mm)</t>
  </si>
  <si>
    <t>time (sec)</t>
  </si>
  <si>
    <t xml:space="preserve">mm/sec </t>
  </si>
  <si>
    <t>rps</t>
  </si>
  <si>
    <t>ADC</t>
  </si>
  <si>
    <t>12 bit</t>
  </si>
  <si>
    <t>Vref</t>
  </si>
  <si>
    <t>ad_val</t>
  </si>
  <si>
    <t>Voltage</t>
  </si>
  <si>
    <t>NCP21XV103J03RA</t>
  </si>
  <si>
    <t>NTC THERMISTOR 10K OHM 5% 0805</t>
  </si>
  <si>
    <t>F</t>
  </si>
  <si>
    <t>R</t>
  </si>
  <si>
    <t>V</t>
  </si>
  <si>
    <t>resistance</t>
  </si>
  <si>
    <t>(R/Ro)</t>
  </si>
  <si>
    <t>ln(R/Ro)</t>
  </si>
  <si>
    <t>1/B * ln(R/Ro)</t>
  </si>
  <si>
    <t xml:space="preserve"> + (1/To)</t>
  </si>
  <si>
    <t>Invert</t>
  </si>
  <si>
    <t>convert to C</t>
  </si>
  <si>
    <t>convert to F</t>
  </si>
  <si>
    <t>x</t>
  </si>
  <si>
    <t>temp_val</t>
  </si>
  <si>
    <t>steinhart C</t>
  </si>
  <si>
    <t>steinhart F</t>
  </si>
  <si>
    <t>steinhart K</t>
  </si>
  <si>
    <t>duty cycle</t>
  </si>
  <si>
    <t>counts_per_unit x 100,000 used in firmware  convert encoder to step</t>
  </si>
  <si>
    <t>nm_per_count (GUI convert enc count to nm)</t>
  </si>
  <si>
    <t>nm_per_step (GUI convert step count to nm)</t>
  </si>
  <si>
    <t>X</t>
  </si>
  <si>
    <t>Y</t>
  </si>
  <si>
    <t>Z</t>
  </si>
  <si>
    <t>Stage</t>
  </si>
  <si>
    <t>ym</t>
  </si>
  <si>
    <t>yb</t>
  </si>
  <si>
    <t>Xnew</t>
  </si>
  <si>
    <t>Ynew</t>
  </si>
  <si>
    <t>zm</t>
  </si>
  <si>
    <t>zb</t>
  </si>
  <si>
    <t>Znew</t>
  </si>
  <si>
    <t>Zcoef</t>
  </si>
  <si>
    <t>Ycoef</t>
  </si>
  <si>
    <t>P1 (enc_count)</t>
  </si>
  <si>
    <t>P2 (enc_count)</t>
  </si>
  <si>
    <t>P1 (enc_count*coef)</t>
  </si>
  <si>
    <t>P2 (enc_count * coef)</t>
  </si>
  <si>
    <t>count/unit</t>
  </si>
  <si>
    <t>speed change</t>
  </si>
  <si>
    <t>xm</t>
  </si>
  <si>
    <t>xb</t>
  </si>
  <si>
    <t>ratio x to Z</t>
  </si>
  <si>
    <t>8KHz</t>
  </si>
  <si>
    <t>2 fps at 4096 x 4096 Pixels</t>
  </si>
  <si>
    <t>30 fps at 512 x 512 Pixels</t>
  </si>
  <si>
    <t>400 fps at 512 x 32 Pixels</t>
  </si>
  <si>
    <t>12KHz</t>
  </si>
  <si>
    <t>45 fps at 512 x 512 Pixels</t>
  </si>
  <si>
    <t>600 fps at 512 x 32 Pixels</t>
  </si>
  <si>
    <t>Galvo-Galvo</t>
  </si>
  <si>
    <t>3 fps at 512 x 512 Pixels</t>
  </si>
  <si>
    <t>48 fps at 512 x 32 Pixels</t>
  </si>
  <si>
    <t>70 fps at 32 x 32 Pixels</t>
  </si>
  <si>
    <t>Pixel Dwell Time: 0.4 to 20 µs</t>
  </si>
  <si>
    <t>[12 mm Diagonal Square (Max) for 12 kHz Scanner]</t>
  </si>
  <si>
    <t>Scan Resolution</t>
  </si>
  <si>
    <t>Up to 2048 x 2048 Pixels (Bi-Directional) [Up to 1168 x 1168 Pixels for 12 kHz Scanner]</t>
  </si>
  <si>
    <t>Up to 4096 x 4096 Pixels (Unidirectional) [Up to 2336 x 2336 Pixels for 12 kHz Scanner]</t>
  </si>
  <si>
    <t>Field of view (Diagonal square mm) 20mm</t>
  </si>
  <si>
    <t>Galvo Calculations</t>
  </si>
  <si>
    <t>Horizontal pixels (active)</t>
  </si>
  <si>
    <t>Vertical pixels (active)</t>
  </si>
  <si>
    <t>LM317DCYR</t>
  </si>
  <si>
    <t>OTM</t>
  </si>
  <si>
    <t>steps/s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</si>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</sst>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0_);_(* \(#,##0.0000\);_(* &quot;-&quot;??_);_(@_)"/>
    <numFmt numFmtId="167" formatCode="_(* #,##0.0000000_);_(* \(#,##0.0000000\);_(* &quot;-&quot;??_);_(@_)"/>
    <numFmt numFmtId="168" formatCode="0.000"/>
    <numFmt numFmtId="169" formatCode="0.0000"/>
    <numFmt numFmtId="170" formatCode="_(* #,##0.000_);_(* \(#,##0.000\);_(* &quot;-&quot;??_);_(@_)"/>
    <numFmt numFmtId="171" formatCode="_(* #,##0.00000_);_(* \(#,##0.00000\);_(* &quot;-&quot;??_);_(@_)"/>
    <numFmt numFmtId="172" formatCode="_(* #,##0.000000_);_(* \(#,##0.000000\);_(* &quot;-&quot;??_);_(@_)"/>
    <numFmt numFmtId="173" formatCode="0.0000000"/>
    <numFmt numFmtId="174" formatCode="0.000000"/>
    <numFmt numFmtId="17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"/>
      <color rgb="FF333333"/>
      <name val="Arial"/>
      <family val="2"/>
    </font>
    <font>
      <b/>
      <sz val="9"/>
      <color rgb="FF000000"/>
      <name val="Arial"/>
      <family val="2"/>
    </font>
    <font>
      <sz val="11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4" borderId="0" applyNumberFormat="0" applyBorder="0" applyAlignment="0" applyProtection="0"/>
    <xf numFmtId="0" fontId="1" fillId="5" borderId="22" applyNumberFormat="0" applyFont="0" applyAlignment="0" applyProtection="0"/>
    <xf numFmtId="0" fontId="7" fillId="6" borderId="23" applyNumberFormat="0" applyAlignment="0" applyProtection="0"/>
    <xf numFmtId="0" fontId="8" fillId="7" borderId="23" applyNumberFormat="0" applyAlignment="0" applyProtection="0"/>
    <xf numFmtId="0" fontId="15" fillId="10" borderId="0" applyNumberFormat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67" fontId="0" fillId="2" borderId="2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3" borderId="2" xfId="1" applyNumberFormat="1" applyFont="1" applyFill="1" applyBorder="1" applyAlignment="1">
      <alignment horizontal="center"/>
    </xf>
    <xf numFmtId="167" fontId="0" fillId="3" borderId="2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NumberFormat="1" applyFont="1" applyAlignment="1">
      <alignment horizontal="left" indent="2"/>
    </xf>
    <xf numFmtId="43" fontId="0" fillId="0" borderId="0" xfId="0" applyNumberFormat="1"/>
    <xf numFmtId="0" fontId="0" fillId="2" borderId="2" xfId="0" applyFill="1" applyBorder="1"/>
    <xf numFmtId="0" fontId="2" fillId="0" borderId="0" xfId="0" applyFont="1" applyBorder="1" applyAlignment="1">
      <alignment horizontal="left"/>
    </xf>
    <xf numFmtId="2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11" fontId="5" fillId="4" borderId="0" xfId="2" applyNumberFormat="1"/>
    <xf numFmtId="170" fontId="0" fillId="0" borderId="0" xfId="0" applyNumberFormat="1"/>
    <xf numFmtId="165" fontId="0" fillId="0" borderId="0" xfId="0" applyNumberFormat="1"/>
    <xf numFmtId="0" fontId="0" fillId="5" borderId="22" xfId="3" applyFont="1"/>
    <xf numFmtId="0" fontId="0" fillId="5" borderId="22" xfId="3" applyFont="1" applyAlignment="1">
      <alignment horizontal="center"/>
    </xf>
    <xf numFmtId="168" fontId="0" fillId="5" borderId="22" xfId="3" applyNumberFormat="1" applyFont="1"/>
    <xf numFmtId="9" fontId="0" fillId="0" borderId="0" xfId="0" applyNumberFormat="1"/>
    <xf numFmtId="0" fontId="7" fillId="6" borderId="23" xfId="4"/>
    <xf numFmtId="165" fontId="7" fillId="6" borderId="23" xfId="4" applyNumberFormat="1"/>
    <xf numFmtId="165" fontId="8" fillId="7" borderId="23" xfId="5" applyNumberFormat="1"/>
    <xf numFmtId="166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4" fontId="8" fillId="7" borderId="23" xfId="5" applyNumberFormat="1"/>
    <xf numFmtId="2" fontId="7" fillId="6" borderId="23" xfId="4" applyNumberFormat="1"/>
    <xf numFmtId="0" fontId="2" fillId="0" borderId="0" xfId="0" applyFont="1" applyAlignment="1">
      <alignment horizontal="left"/>
    </xf>
    <xf numFmtId="0" fontId="9" fillId="8" borderId="2" xfId="0" applyFont="1" applyFill="1" applyBorder="1" applyAlignment="1">
      <alignment horizontal="left"/>
    </xf>
    <xf numFmtId="0" fontId="9" fillId="9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2" xfId="3" applyFont="1" applyAlignment="1">
      <alignment horizontal="center" wrapText="1"/>
    </xf>
    <xf numFmtId="170" fontId="7" fillId="6" borderId="23" xfId="4" applyNumberFormat="1"/>
    <xf numFmtId="0" fontId="0" fillId="0" borderId="0" xfId="0" applyAlignment="1">
      <alignment wrapText="1"/>
    </xf>
    <xf numFmtId="0" fontId="5" fillId="4" borderId="0" xfId="2" applyAlignment="1">
      <alignment horizontal="center"/>
    </xf>
    <xf numFmtId="174" fontId="0" fillId="2" borderId="2" xfId="0" applyNumberFormat="1" applyFill="1" applyBorder="1" applyAlignment="1">
      <alignment horizontal="center"/>
    </xf>
    <xf numFmtId="173" fontId="0" fillId="5" borderId="22" xfId="3" applyNumberFormat="1" applyFont="1"/>
    <xf numFmtId="0" fontId="5" fillId="4" borderId="0" xfId="2"/>
    <xf numFmtId="43" fontId="5" fillId="4" borderId="0" xfId="2" applyNumberFormat="1" applyAlignment="1">
      <alignment horizontal="center"/>
    </xf>
    <xf numFmtId="165" fontId="5" fillId="4" borderId="0" xfId="2" applyNumberFormat="1" applyAlignment="1">
      <alignment horizontal="left" indent="2"/>
    </xf>
    <xf numFmtId="165" fontId="7" fillId="6" borderId="23" xfId="4" applyNumberFormat="1" applyAlignment="1">
      <alignment horizontal="center"/>
    </xf>
    <xf numFmtId="0" fontId="0" fillId="0" borderId="0" xfId="0" applyAlignment="1">
      <alignment horizontal="center"/>
    </xf>
    <xf numFmtId="0" fontId="0" fillId="5" borderId="24" xfId="3" applyFont="1" applyBorder="1"/>
    <xf numFmtId="174" fontId="8" fillId="7" borderId="25" xfId="5" applyNumberFormat="1" applyBorder="1"/>
    <xf numFmtId="2" fontId="7" fillId="6" borderId="25" xfId="4" applyNumberFormat="1" applyBorder="1"/>
    <xf numFmtId="0" fontId="0" fillId="5" borderId="26" xfId="3" applyFont="1" applyBorder="1"/>
    <xf numFmtId="174" fontId="8" fillId="7" borderId="27" xfId="5" applyNumberFormat="1" applyBorder="1"/>
    <xf numFmtId="2" fontId="7" fillId="6" borderId="27" xfId="4" applyNumberFormat="1" applyBorder="1"/>
    <xf numFmtId="0" fontId="0" fillId="5" borderId="28" xfId="3" applyFont="1" applyBorder="1"/>
    <xf numFmtId="0" fontId="0" fillId="0" borderId="29" xfId="0" applyBorder="1"/>
    <xf numFmtId="0" fontId="0" fillId="5" borderId="30" xfId="3" applyFont="1" applyBorder="1"/>
    <xf numFmtId="174" fontId="8" fillId="7" borderId="31" xfId="5" applyNumberFormat="1" applyBorder="1"/>
    <xf numFmtId="2" fontId="0" fillId="0" borderId="29" xfId="0" applyNumberFormat="1" applyBorder="1"/>
    <xf numFmtId="2" fontId="7" fillId="6" borderId="31" xfId="4" applyNumberFormat="1" applyBorder="1"/>
    <xf numFmtId="165" fontId="0" fillId="0" borderId="29" xfId="1" applyNumberFormat="1" applyFont="1" applyBorder="1"/>
    <xf numFmtId="173" fontId="0" fillId="0" borderId="29" xfId="0" applyNumberFormat="1" applyBorder="1"/>
    <xf numFmtId="174" fontId="0" fillId="0" borderId="29" xfId="0" applyNumberFormat="1" applyBorder="1"/>
    <xf numFmtId="0" fontId="0" fillId="0" borderId="29" xfId="0" applyBorder="1" applyAlignment="1">
      <alignment wrapText="1"/>
    </xf>
    <xf numFmtId="0" fontId="0" fillId="0" borderId="32" xfId="0" applyBorder="1"/>
    <xf numFmtId="175" fontId="0" fillId="0" borderId="0" xfId="0" applyNumberFormat="1"/>
    <xf numFmtId="0" fontId="10" fillId="0" borderId="0" xfId="0" applyFont="1" applyAlignment="1">
      <alignment vertical="center" wrapText="1"/>
    </xf>
    <xf numFmtId="0" fontId="10" fillId="0" borderId="0" xfId="0" applyFont="1"/>
    <xf numFmtId="0" fontId="7" fillId="6" borderId="23" xfId="4" applyAlignment="1">
      <alignment horizontal="center"/>
    </xf>
    <xf numFmtId="0" fontId="8" fillId="7" borderId="23" xfId="5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" fontId="8" fillId="7" borderId="23" xfId="5" applyNumberFormat="1" applyAlignment="1">
      <alignment horizontal="center"/>
    </xf>
    <xf numFmtId="165" fontId="7" fillId="6" borderId="23" xfId="1" applyNumberFormat="1" applyFont="1" applyFill="1" applyBorder="1" applyAlignment="1">
      <alignment horizontal="center"/>
    </xf>
    <xf numFmtId="165" fontId="8" fillId="7" borderId="23" xfId="1" applyNumberFormat="1" applyFont="1" applyFill="1" applyBorder="1" applyAlignment="1">
      <alignment horizontal="center"/>
    </xf>
    <xf numFmtId="0" fontId="7" fillId="6" borderId="23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33" xfId="0" applyBorder="1"/>
    <xf numFmtId="0" fontId="11" fillId="0" borderId="29" xfId="0" applyFont="1" applyBorder="1"/>
    <xf numFmtId="0" fontId="2" fillId="0" borderId="29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0" borderId="32" xfId="0" applyFont="1" applyBorder="1"/>
    <xf numFmtId="0" fontId="13" fillId="0" borderId="0" xfId="0" applyFont="1"/>
    <xf numFmtId="0" fontId="14" fillId="0" borderId="0" xfId="0" applyFont="1" applyAlignment="1">
      <alignment vertical="center" wrapText="1"/>
    </xf>
    <xf numFmtId="165" fontId="8" fillId="7" borderId="23" xfId="1" applyNumberFormat="1" applyFont="1" applyFill="1" applyBorder="1"/>
    <xf numFmtId="0" fontId="0" fillId="0" borderId="0" xfId="0" applyAlignment="1">
      <alignment horizontal="center"/>
    </xf>
    <xf numFmtId="0" fontId="8" fillId="7" borderId="23" xfId="5"/>
    <xf numFmtId="0" fontId="15" fillId="10" borderId="23" xfId="6" applyBorder="1"/>
    <xf numFmtId="166" fontId="0" fillId="0" borderId="0" xfId="1" applyNumberFormat="1" applyFont="1"/>
  </cellXfs>
  <cellStyles count="7">
    <cellStyle name="Calculation" xfId="5" builtinId="22"/>
    <cellStyle name="Comma" xfId="1" builtinId="3"/>
    <cellStyle name="Good" xfId="2" builtinId="26"/>
    <cellStyle name="Input" xfId="4" builtinId="20"/>
    <cellStyle name="Neutral" xfId="6" builtinId="28"/>
    <cellStyle name="Normal" xfId="0" builtinId="0"/>
    <cellStyle name="Note" xfId="3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'Stepper Card'!$L$14</c:f>
              <c:strCache>
                <c:ptCount val="1"/>
                <c:pt idx="0">
                  <c:v>speed 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5.8662806424962896E-2"/>
                  <c:y val="0.12404984423676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'Stepper Card'!$J$15:$J$21</c:f>
              <c:numCache>
                <c:formatCode>General</c:formatCode>
                <c:ptCount val="7"/>
                <c:pt idx="0" formatCode="0">
                  <c:v>1</c:v>
                </c:pt>
                <c:pt idx="1">
                  <c:v>2</c:v>
                </c:pt>
                <c:pt idx="2">
                  <c:v>3</c:v>
                </c:pt>
                <c:pt idx="3" formatCode="0">
                  <c:v>4</c:v>
                </c:pt>
                <c:pt idx="4">
                  <c:v>5</c:v>
                </c:pt>
                <c:pt idx="5">
                  <c:v>6</c:v>
                </c:pt>
                <c:pt idx="6" formatCode="0">
                  <c:v>7</c:v>
                </c:pt>
              </c:numCache>
            </c:numRef>
          </c:xVal>
          <c:yVal>
            <c:numRef>
              <c:f>'Stepper Card'!$L$15:$L$21</c:f>
              <c:numCache>
                <c:formatCode>General</c:formatCode>
                <c:ptCount val="7"/>
                <c:pt idx="0">
                  <c:v>600</c:v>
                </c:pt>
                <c:pt idx="1">
                  <c:v>3600</c:v>
                </c:pt>
                <c:pt idx="2">
                  <c:v>7800</c:v>
                </c:pt>
                <c:pt idx="3">
                  <c:v>15300</c:v>
                </c:pt>
                <c:pt idx="4">
                  <c:v>60000</c:v>
                </c:pt>
                <c:pt idx="5">
                  <c:v>153600</c:v>
                </c:pt>
                <c:pt idx="6">
                  <c:v>307200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85392"/>
        <c:axId val="357585952"/>
      </c:scatterChart>
      <c:valAx>
        <c:axId val="3575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85952"/>
        <c:crosses val="autoZero"/>
        <c:crossBetween val="midCat"/>
      </c:valAx>
      <c:valAx>
        <c:axId val="3575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cccw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Sheet1!$J$20:$J$21</c:f>
              <c:numCache>
                <c:formatCode>General</c:formatCode>
                <c:ptCount val="2"/>
                <c:pt idx="0">
                  <c:v>10</c:v>
                </c:pt>
                <c:pt idx="1">
                  <c:v>501.5</c:v>
                </c:pt>
              </c:numCache>
            </c:numRef>
          </c:xVal>
          <c:yVal>
            <c:numRef>
              <c:f>Sheet1!$I$20:$I$21</c:f>
              <c:numCache>
                <c:formatCode>General</c:formatCode>
                <c:ptCount val="2"/>
                <c:pt idx="0">
                  <c:v>53248</c:v>
                </c:pt>
                <c:pt idx="1">
                  <c:v>1000</c:v>
                </c:pt>
              </c:numCache>
            </c:numRef>
          </c:yVal>
          <c:smooth val="1"/>
        </c:ser>
        <c:ser>
          <c:idx val="1"/>
          <c:order val="1"/>
          <c:tx>
            <c:v>cw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Sheet1!$J$22:$J$23</c:f>
              <c:numCache>
                <c:formatCode>General</c:formatCode>
                <c:ptCount val="2"/>
                <c:pt idx="0">
                  <c:v>521.5</c:v>
                </c:pt>
                <c:pt idx="1">
                  <c:v>1013</c:v>
                </c:pt>
              </c:numCache>
            </c:numRef>
          </c:xVal>
          <c:yVal>
            <c:numRef>
              <c:f>Sheet1!$I$22:$I$23</c:f>
              <c:numCache>
                <c:formatCode>General</c:formatCode>
                <c:ptCount val="2"/>
                <c:pt idx="0">
                  <c:v>1000</c:v>
                </c:pt>
                <c:pt idx="1">
                  <c:v>53248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88752"/>
        <c:axId val="357589312"/>
      </c:scatterChart>
      <c:valAx>
        <c:axId val="35758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89312"/>
        <c:crosses val="autoZero"/>
        <c:crossBetween val="midCat"/>
      </c:valAx>
      <c:valAx>
        <c:axId val="3575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r_t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2.9492125984251969E-2"/>
                  <c:y val="-0.43801691455234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ADC!$I$6:$I$19</c:f>
              <c:numCache>
                <c:formatCode>General</c:formatCode>
                <c:ptCount val="14"/>
                <c:pt idx="0">
                  <c:v>32</c:v>
                </c:pt>
                <c:pt idx="1">
                  <c:v>41</c:v>
                </c:pt>
                <c:pt idx="2">
                  <c:v>50</c:v>
                </c:pt>
                <c:pt idx="3">
                  <c:v>59</c:v>
                </c:pt>
                <c:pt idx="4">
                  <c:v>68</c:v>
                </c:pt>
                <c:pt idx="5">
                  <c:v>77</c:v>
                </c:pt>
                <c:pt idx="6">
                  <c:v>86</c:v>
                </c:pt>
                <c:pt idx="7">
                  <c:v>95</c:v>
                </c:pt>
                <c:pt idx="8">
                  <c:v>104</c:v>
                </c:pt>
                <c:pt idx="9">
                  <c:v>113</c:v>
                </c:pt>
                <c:pt idx="10">
                  <c:v>122</c:v>
                </c:pt>
                <c:pt idx="11">
                  <c:v>131</c:v>
                </c:pt>
                <c:pt idx="12">
                  <c:v>140</c:v>
                </c:pt>
                <c:pt idx="13">
                  <c:v>149</c:v>
                </c:pt>
              </c:numCache>
            </c:numRef>
          </c:xVal>
          <c:yVal>
            <c:numRef>
              <c:f>ADC!$J$6:$J$19</c:f>
              <c:numCache>
                <c:formatCode>General</c:formatCode>
                <c:ptCount val="14"/>
                <c:pt idx="0">
                  <c:v>32.33</c:v>
                </c:pt>
                <c:pt idx="1">
                  <c:v>25.193999999999999</c:v>
                </c:pt>
                <c:pt idx="2">
                  <c:v>19.785</c:v>
                </c:pt>
                <c:pt idx="3">
                  <c:v>15.651</c:v>
                </c:pt>
                <c:pt idx="4">
                  <c:v>12.468</c:v>
                </c:pt>
                <c:pt idx="5">
                  <c:v>10</c:v>
                </c:pt>
                <c:pt idx="6">
                  <c:v>8.0719999999999992</c:v>
                </c:pt>
                <c:pt idx="7">
                  <c:v>6.556</c:v>
                </c:pt>
                <c:pt idx="8">
                  <c:v>5.3559999999999999</c:v>
                </c:pt>
                <c:pt idx="9">
                  <c:v>4.4009999999999998</c:v>
                </c:pt>
                <c:pt idx="10">
                  <c:v>3.6349999999999998</c:v>
                </c:pt>
                <c:pt idx="11">
                  <c:v>3.0190000000000001</c:v>
                </c:pt>
                <c:pt idx="12">
                  <c:v>2.5209999999999999</c:v>
                </c:pt>
                <c:pt idx="13">
                  <c:v>2.1150000000000002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91552"/>
        <c:axId val="357592112"/>
      </c:scatterChart>
      <c:valAx>
        <c:axId val="35759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2112"/>
        <c:crosses val="autoZero"/>
        <c:crossBetween val="midCat"/>
      </c:valAx>
      <c:valAx>
        <c:axId val="35759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f_v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259601924759405"/>
                  <c:y val="4.44845435987168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ADC!$K$6:$K$19</c:f>
              <c:numCache>
                <c:formatCode>0.00</c:formatCode>
                <c:ptCount val="14"/>
                <c:pt idx="0">
                  <c:v>0.77958894401133949</c:v>
                </c:pt>
                <c:pt idx="1">
                  <c:v>0.93765982837983741</c:v>
                </c:pt>
                <c:pt idx="2">
                  <c:v>1.107940238375021</c:v>
                </c:pt>
                <c:pt idx="3">
                  <c:v>1.2864995516743987</c:v>
                </c:pt>
                <c:pt idx="4">
                  <c:v>1.4687555634680434</c:v>
                </c:pt>
                <c:pt idx="5">
                  <c:v>1.65</c:v>
                </c:pt>
                <c:pt idx="6">
                  <c:v>1.8260292164674636</c:v>
                </c:pt>
                <c:pt idx="7">
                  <c:v>1.9932350809374244</c:v>
                </c:pt>
                <c:pt idx="8">
                  <c:v>2.1489971346704873</c:v>
                </c:pt>
                <c:pt idx="9">
                  <c:v>2.2915075341990141</c:v>
                </c:pt>
                <c:pt idx="10">
                  <c:v>2.4202420242024201</c:v>
                </c:pt>
                <c:pt idx="11">
                  <c:v>2.5347568937706431</c:v>
                </c:pt>
                <c:pt idx="12">
                  <c:v>2.6355722386390861</c:v>
                </c:pt>
                <c:pt idx="13">
                  <c:v>2.7238959966983076</c:v>
                </c:pt>
              </c:numCache>
            </c:numRef>
          </c:xVal>
          <c:yVal>
            <c:numRef>
              <c:f>ADC!$I$6:$I$19</c:f>
              <c:numCache>
                <c:formatCode>General</c:formatCode>
                <c:ptCount val="14"/>
                <c:pt idx="0">
                  <c:v>32</c:v>
                </c:pt>
                <c:pt idx="1">
                  <c:v>41</c:v>
                </c:pt>
                <c:pt idx="2">
                  <c:v>50</c:v>
                </c:pt>
                <c:pt idx="3">
                  <c:v>59</c:v>
                </c:pt>
                <c:pt idx="4">
                  <c:v>68</c:v>
                </c:pt>
                <c:pt idx="5">
                  <c:v>77</c:v>
                </c:pt>
                <c:pt idx="6">
                  <c:v>86</c:v>
                </c:pt>
                <c:pt idx="7">
                  <c:v>95</c:v>
                </c:pt>
                <c:pt idx="8">
                  <c:v>104</c:v>
                </c:pt>
                <c:pt idx="9">
                  <c:v>113</c:v>
                </c:pt>
                <c:pt idx="10">
                  <c:v>122</c:v>
                </c:pt>
                <c:pt idx="11">
                  <c:v>131</c:v>
                </c:pt>
                <c:pt idx="12">
                  <c:v>140</c:v>
                </c:pt>
                <c:pt idx="13">
                  <c:v>149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94352"/>
        <c:axId val="357594912"/>
      </c:scatterChart>
      <c:valAx>
        <c:axId val="3575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4912"/>
        <c:crosses val="autoZero"/>
        <c:crossBetween val="midCat"/>
      </c:valAx>
      <c:valAx>
        <c:axId val="35759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ADC!$H$12:$H$13</c:f>
              <c:numCache>
                <c:formatCode>General</c:formatCode>
                <c:ptCount val="2"/>
                <c:pt idx="0">
                  <c:v>30</c:v>
                </c:pt>
                <c:pt idx="1">
                  <c:v>35</c:v>
                </c:pt>
              </c:numCache>
            </c:numRef>
          </c:xVal>
          <c:yVal>
            <c:numRef>
              <c:f>ADC!$L$12:$L$13</c:f>
              <c:numCache>
                <c:formatCode>General</c:formatCode>
                <c:ptCount val="2"/>
                <c:pt idx="0">
                  <c:v>20</c:v>
                </c:pt>
                <c:pt idx="1">
                  <c:v>50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597152"/>
        <c:axId val="357597712"/>
      </c:scatterChart>
      <c:valAx>
        <c:axId val="35759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7712"/>
        <c:crosses val="autoZero"/>
        <c:crossBetween val="midCat"/>
      </c:valAx>
      <c:valAx>
        <c:axId val="35759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9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 (k ohm)/C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'Fan speed controller'!$K$3</c:f>
              <c:strCache>
                <c:ptCount val="1"/>
                <c:pt idx="0">
                  <c:v>R (k ohm)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'Fan speed controller'!$I$4:$I$11</c:f>
              <c:numCache>
                <c:formatCode>General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xVal>
          <c:yVal>
            <c:numRef>
              <c:f>'Fan speed controller'!$K$4:$K$11</c:f>
              <c:numCache>
                <c:formatCode>General</c:formatCode>
                <c:ptCount val="8"/>
                <c:pt idx="0">
                  <c:v>15.651</c:v>
                </c:pt>
                <c:pt idx="1">
                  <c:v>12.468</c:v>
                </c:pt>
                <c:pt idx="2">
                  <c:v>10</c:v>
                </c:pt>
                <c:pt idx="3">
                  <c:v>8.0719999999999992</c:v>
                </c:pt>
                <c:pt idx="4">
                  <c:v>6.556</c:v>
                </c:pt>
                <c:pt idx="5">
                  <c:v>5.3559999999999999</c:v>
                </c:pt>
                <c:pt idx="6">
                  <c:v>4.4009999999999998</c:v>
                </c:pt>
                <c:pt idx="7">
                  <c:v>3.6349999999999998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90000"/>
        <c:axId val="358990560"/>
      </c:scatterChart>
      <c:valAx>
        <c:axId val="3589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0560"/>
        <c:crosses val="autoZero"/>
        <c:crossBetween val="midCat"/>
      </c:valAx>
      <c:valAx>
        <c:axId val="3589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Fan V/C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'Fan speed controller'!$I$4:$I$11</c:f>
              <c:numCache>
                <c:formatCode>General</c:formatCode>
                <c:ptCount val="8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  <c:pt idx="6">
                  <c:v>45</c:v>
                </c:pt>
                <c:pt idx="7">
                  <c:v>50</c:v>
                </c:pt>
              </c:numCache>
            </c:numRef>
          </c:xVal>
          <c:yVal>
            <c:numRef>
              <c:f>'Fan speed controller'!$M$4:$M$11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41</c:v>
                </c:pt>
                <c:pt idx="3">
                  <c:v>70</c:v>
                </c:pt>
                <c:pt idx="4">
                  <c:v>99</c:v>
                </c:pt>
                <c:pt idx="5">
                  <c:v>100</c:v>
                </c:pt>
                <c:pt idx="6">
                  <c:v>100</c:v>
                </c:pt>
                <c:pt idx="7" formatCode="General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92800"/>
        <c:axId val="358993360"/>
      </c:scatterChart>
      <c:valAx>
        <c:axId val="358992800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3360"/>
        <c:crosses val="autoZero"/>
        <c:crossBetween val="midCat"/>
      </c:valAx>
      <c:valAx>
        <c:axId val="3589933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</a:t>
            </a:r>
            <a:r>
              <a:rPr lang="en-US" baseline="0"/>
              <a:t> V/</a:t>
            </a:r>
            <a:r>
              <a:rPr lang="en-US" sz="1400" b="0" i="0" u="none" strike="noStrike" baseline="0">
                <a:effectLst/>
              </a:rPr>
              <a:t>°C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'Fan speed controller'!$I$17:$I$18</c:f>
              <c:numCache>
                <c:formatCode>General</c:formatCode>
                <c:ptCount val="2"/>
                <c:pt idx="0">
                  <c:v>15</c:v>
                </c:pt>
                <c:pt idx="1">
                  <c:v>27</c:v>
                </c:pt>
              </c:numCache>
            </c:numRef>
          </c:xVal>
          <c:yVal>
            <c:numRef>
              <c:f>'Fan speed controller'!$J$17:$J$18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'Fan speed controller'!$I$19:$I$20</c:f>
              <c:numCache>
                <c:formatCode>General</c:formatCode>
                <c:ptCount val="2"/>
                <c:pt idx="0">
                  <c:v>27</c:v>
                </c:pt>
                <c:pt idx="1">
                  <c:v>32</c:v>
                </c:pt>
              </c:numCache>
            </c:numRef>
          </c:xVal>
          <c:yVal>
            <c:numRef>
              <c:f>'Fan speed controller'!$J$19:$J$20</c:f>
              <c:numCache>
                <c:formatCode>0</c:formatCode>
                <c:ptCount val="2"/>
                <c:pt idx="0">
                  <c:v>33</c:v>
                </c:pt>
                <c:pt idx="1">
                  <c:v>100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'Fan speed controller'!$I$21:$I$23</c:f>
              <c:numCache>
                <c:formatCode>General</c:formatCode>
                <c:ptCount val="3"/>
                <c:pt idx="0">
                  <c:v>35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'Fan speed controller'!$J$21:$J$23</c:f>
              <c:numCache>
                <c:formatCode>0</c:formatCode>
                <c:ptCount val="3"/>
                <c:pt idx="0">
                  <c:v>100</c:v>
                </c:pt>
                <c:pt idx="1">
                  <c:v>100</c:v>
                </c:pt>
                <c:pt idx="2" formatCode="General">
                  <c:v>100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'Fan speed controller'!$I$19</c:f>
              <c:numCache>
                <c:formatCode>General</c:formatCode>
                <c:ptCount val="1"/>
                <c:pt idx="0">
                  <c:v>27</c:v>
                </c:pt>
              </c:numCache>
            </c:numRef>
          </c:xVal>
          <c:yVal>
            <c:numRef>
              <c:f>'Fan speed controller'!$J$19</c:f>
              <c:numCache>
                <c:formatCode>0</c:formatCode>
                <c:ptCount val="1"/>
                <c:pt idx="0">
                  <c:v>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997280"/>
        <c:axId val="358997840"/>
      </c:scatterChart>
      <c:valAx>
        <c:axId val="358997280"/>
        <c:scaling>
          <c:orientation val="minMax"/>
          <c:max val="5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°C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7840"/>
        <c:crosses val="autoZero"/>
        <c:crossBetween val="midCat"/>
      </c:valAx>
      <c:valAx>
        <c:axId val="3589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99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8095888013998249"/>
                  <c:y val="-8.25957100190062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'Virtual move'!$C$11:$C$12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'Virtual move'!$D$11:$D$12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</c:ser>
        <c:ser>
          <c:idx val="1"/>
          <c:order val="1"/>
          <c:tx>
            <c:v>point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'Virtual move'!$C$20</c:f>
              <c:numCache>
                <c:formatCode>_(* #,##0_);_(* \(#,##0\);_(* "-"??_);_(@_)</c:formatCode>
                <c:ptCount val="1"/>
                <c:pt idx="0">
                  <c:v>4000</c:v>
                </c:pt>
              </c:numCache>
            </c:numRef>
          </c:xVal>
          <c:yVal>
            <c:numRef>
              <c:f>'Virtual move'!$C$21</c:f>
              <c:numCache>
                <c:formatCode>_(* #,##0_);_(* \(#,##0\);_(* "-"??_);_(@_)</c:formatCode>
                <c:ptCount val="1"/>
                <c:pt idx="0">
                  <c:v>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001200"/>
        <c:axId val="359001760"/>
      </c:scatterChart>
      <c:valAx>
        <c:axId val="359001200"/>
        <c:scaling>
          <c:orientation val="minMax"/>
          <c:max val="10000"/>
          <c:min val="-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01760"/>
        <c:crosses val="autoZero"/>
        <c:crossBetween val="midCat"/>
      </c:valAx>
      <c:valAx>
        <c:axId val="35900176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0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5453193350831145E-2"/>
                  <c:y val="-2.28929717118693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'Virtual move'!$C$11:$C$12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'Virtual move'!$E$11:$E$12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0"/>
        </c:ser>
        <c:ser>
          <c:idx val="1"/>
          <c:order val="1"/>
          <c:tx>
            <c:v>xz_orig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9531933508311453E-3"/>
                  <c:y val="-2.1846199637416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'Virtual move'!$C$6:$C$7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'Virtual move'!$E$6:$E$7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004560"/>
        <c:axId val="359005120"/>
      </c:scatterChart>
      <c:valAx>
        <c:axId val="35900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05120"/>
        <c:crosses val="autoZero"/>
        <c:crossBetween val="midCat"/>
      </c:valAx>
      <c:valAx>
        <c:axId val="3590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0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9453193350831146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'Virtual move'!$D$31:$D$32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'Virtual move'!$E$31:$E$32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6256"/>
        <c:axId val="388226816"/>
      </c:scatterChart>
      <c:valAx>
        <c:axId val="38822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26816"/>
        <c:crosses val="autoZero"/>
        <c:crossBetween val="midCat"/>
      </c:valAx>
      <c:valAx>
        <c:axId val="3882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2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Joysitcks!$R$3</c:f>
              <c:strCache>
                <c:ptCount val="1"/>
                <c:pt idx="0">
                  <c:v>speed out outer wheel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Joysitcks!$O$4:$O$10</c:f>
              <c:numCache>
                <c:formatCode>General</c:formatCode>
                <c:ptCount val="7"/>
                <c:pt idx="0" formatCode="0">
                  <c:v>1</c:v>
                </c:pt>
                <c:pt idx="1">
                  <c:v>2</c:v>
                </c:pt>
                <c:pt idx="2">
                  <c:v>3</c:v>
                </c:pt>
                <c:pt idx="3" formatCode="0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Joysitcks!$R$4:$R$10</c:f>
              <c:numCache>
                <c:formatCode>0</c:formatCode>
                <c:ptCount val="7"/>
                <c:pt idx="0">
                  <c:v>65.493646138807435</c:v>
                </c:pt>
                <c:pt idx="1">
                  <c:v>392.96187683284455</c:v>
                </c:pt>
                <c:pt idx="2">
                  <c:v>851.41739980449654</c:v>
                </c:pt>
                <c:pt idx="3">
                  <c:v>1670.0879765395894</c:v>
                </c:pt>
                <c:pt idx="4">
                  <c:v>6549.3646138807426</c:v>
                </c:pt>
                <c:pt idx="5">
                  <c:v>16766.373411534703</c:v>
                </c:pt>
                <c:pt idx="6">
                  <c:v>33500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9056"/>
        <c:axId val="388229616"/>
      </c:scatterChart>
      <c:valAx>
        <c:axId val="38822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29616"/>
        <c:crosses val="autoZero"/>
        <c:crossBetween val="midCat"/>
      </c:valAx>
      <c:valAx>
        <c:axId val="3882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2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8551995405006506E-2"/>
                  <c:y val="-5.67398348949398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Joysitcks!$Y$5:$Y$6</c:f>
              <c:numCache>
                <c:formatCode>General</c:formatCode>
                <c:ptCount val="2"/>
                <c:pt idx="0">
                  <c:v>16</c:v>
                </c:pt>
                <c:pt idx="1">
                  <c:v>180</c:v>
                </c:pt>
              </c:numCache>
            </c:numRef>
          </c:xVal>
          <c:yVal>
            <c:numRef>
              <c:f>Joysitcks!$Z$5:$Z$6</c:f>
              <c:numCache>
                <c:formatCode>General</c:formatCode>
                <c:ptCount val="2"/>
                <c:pt idx="0">
                  <c:v>85</c:v>
                </c:pt>
                <c:pt idx="1">
                  <c:v>1023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31856"/>
        <c:axId val="358720176"/>
      </c:scatterChart>
      <c:valAx>
        <c:axId val="38823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0176"/>
        <c:crosses val="autoZero"/>
        <c:crossBetween val="midCat"/>
      </c:valAx>
      <c:valAx>
        <c:axId val="3587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23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245370370370371"/>
          <c:w val="0.86486351706036746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55518372703412"/>
                  <c:y val="-0.573225430154564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Joysitcks!$R$19:$S$19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Joysitcks!$R$20:$S$20</c:f>
              <c:numCache>
                <c:formatCode>General</c:formatCode>
                <c:ptCount val="2"/>
                <c:pt idx="0">
                  <c:v>509</c:v>
                </c:pt>
                <c:pt idx="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&gt;500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Joysitcks!$R$21:$R$22</c:f>
              <c:numCache>
                <c:formatCode>General</c:formatCode>
                <c:ptCount val="2"/>
                <c:pt idx="0">
                  <c:v>512</c:v>
                </c:pt>
                <c:pt idx="1">
                  <c:v>1020</c:v>
                </c:pt>
              </c:numCache>
            </c:numRef>
          </c:xVal>
          <c:yVal>
            <c:numRef>
              <c:f>Joysitcks!$S$21:$S$22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722976"/>
        <c:axId val="358723536"/>
      </c:scatterChart>
      <c:valAx>
        <c:axId val="3587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3536"/>
        <c:crosses val="autoZero"/>
        <c:crossBetween val="midCat"/>
      </c:valAx>
      <c:valAx>
        <c:axId val="35872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Joystick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 CCW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306851066693603E-2"/>
                  <c:y val="-7.6268550543331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Joysitcks!$J$48:$J$49</c:f>
              <c:numCache>
                <c:formatCode>General</c:formatCode>
                <c:ptCount val="2"/>
                <c:pt idx="0">
                  <c:v>0</c:v>
                </c:pt>
                <c:pt idx="1">
                  <c:v>512</c:v>
                </c:pt>
              </c:numCache>
            </c:numRef>
          </c:xVal>
          <c:yVal>
            <c:numRef>
              <c:f>Joysitcks!$K$48:$K$49</c:f>
              <c:numCache>
                <c:formatCode>General</c:formatCode>
                <c:ptCount val="2"/>
                <c:pt idx="0" formatCode="_(* #,##0_);_(* \(#,##0\);_(* &quot;-&quot;??_);_(@_)">
                  <c:v>5500</c:v>
                </c:pt>
                <c:pt idx="1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High CCW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905898781883034E-2"/>
                  <c:y val="-0.5082519357977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Joysitcks!$M$48:$M$49</c:f>
              <c:numCache>
                <c:formatCode>General</c:formatCode>
                <c:ptCount val="2"/>
                <c:pt idx="0">
                  <c:v>0</c:v>
                </c:pt>
                <c:pt idx="1">
                  <c:v>512</c:v>
                </c:pt>
              </c:numCache>
            </c:numRef>
          </c:xVal>
          <c:yVal>
            <c:numRef>
              <c:f>Joysitcks!$N$48:$N$49</c:f>
              <c:numCache>
                <c:formatCode>General</c:formatCode>
                <c:ptCount val="2"/>
                <c:pt idx="0" formatCode="_(* #,##0_);_(* \(#,##0\);_(* &quot;-&quot;??_);_(@_)">
                  <c:v>55000</c:v>
                </c:pt>
                <c:pt idx="1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v>Low CW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6711084191399149E-3"/>
                  <c:y val="-4.05219908259131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Joysitcks!$J$49:$J$50</c:f>
              <c:numCache>
                <c:formatCode>General</c:formatCode>
                <c:ptCount val="2"/>
                <c:pt idx="0">
                  <c:v>512</c:v>
                </c:pt>
                <c:pt idx="1">
                  <c:v>1024</c:v>
                </c:pt>
              </c:numCache>
            </c:numRef>
          </c:xVal>
          <c:yVal>
            <c:numRef>
              <c:f>Joysitcks!$K$49:$K$50</c:f>
              <c:numCache>
                <c:formatCode>_(* #,##0_);_(* \(#,##0\);_(* "-"??_);_(@_)</c:formatCode>
                <c:ptCount val="2"/>
                <c:pt idx="0" formatCode="General">
                  <c:v>0</c:v>
                </c:pt>
                <c:pt idx="1">
                  <c:v>5500</c:v>
                </c:pt>
              </c:numCache>
            </c:numRef>
          </c:yVal>
          <c:smooth val="0"/>
        </c:ser>
        <c:ser>
          <c:idx val="3"/>
          <c:order val="3"/>
          <c:tx>
            <c:v>High CW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910088162056665E-2"/>
                  <c:y val="5.24656380569251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Joysitcks!$M$49:$M$50</c:f>
              <c:numCache>
                <c:formatCode>General</c:formatCode>
                <c:ptCount val="2"/>
                <c:pt idx="0">
                  <c:v>512</c:v>
                </c:pt>
                <c:pt idx="1">
                  <c:v>1024</c:v>
                </c:pt>
              </c:numCache>
            </c:numRef>
          </c:xVal>
          <c:yVal>
            <c:numRef>
              <c:f>Joysitcks!$N$49:$N$50</c:f>
              <c:numCache>
                <c:formatCode>_(* #,##0_);_(* \(#,##0\);_(* "-"??_);_(@_)</c:formatCode>
                <c:ptCount val="2"/>
                <c:pt idx="0" formatCode="General">
                  <c:v>0</c:v>
                </c:pt>
                <c:pt idx="1">
                  <c:v>55000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727456"/>
        <c:axId val="358728016"/>
      </c:scatterChart>
      <c:valAx>
        <c:axId val="3587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Joystick 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8016"/>
        <c:crosses val="autoZero"/>
        <c:crossBetween val="midCat"/>
      </c:valAx>
      <c:valAx>
        <c:axId val="3587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2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986657917760279E-2"/>
                  <c:y val="-0.267669874599008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'3D joystick'!$D$4:$E$4</c:f>
              <c:numCache>
                <c:formatCode>General</c:formatCode>
                <c:ptCount val="2"/>
                <c:pt idx="0">
                  <c:v>0</c:v>
                </c:pt>
                <c:pt idx="1">
                  <c:v>1024</c:v>
                </c:pt>
              </c:numCache>
            </c:numRef>
          </c:xVal>
          <c:yVal>
            <c:numRef>
              <c:f>'3D joystick'!$D$5:$E$5</c:f>
              <c:numCache>
                <c:formatCode>General</c:formatCode>
                <c:ptCount val="2"/>
                <c:pt idx="0">
                  <c:v>350</c:v>
                </c:pt>
                <c:pt idx="1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730816"/>
        <c:axId val="358731376"/>
      </c:scatterChart>
      <c:valAx>
        <c:axId val="35873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31376"/>
        <c:crosses val="autoZero"/>
        <c:crossBetween val="midCat"/>
      </c:valAx>
      <c:valAx>
        <c:axId val="3587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3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'Hobby Servo'!$B$3</c:f>
              <c:strCache>
                <c:ptCount val="1"/>
                <c:pt idx="0">
                  <c:v>AD 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022944006999125"/>
                  <c:y val="-7.92898804316127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'Hobby Servo'!$C$4:$C$18</c:f>
              <c:numCache>
                <c:formatCode>General</c:formatCode>
                <c:ptCount val="15"/>
                <c:pt idx="0">
                  <c:v>3200</c:v>
                </c:pt>
                <c:pt idx="1">
                  <c:v>3458</c:v>
                </c:pt>
                <c:pt idx="2">
                  <c:v>3664</c:v>
                </c:pt>
                <c:pt idx="3">
                  <c:v>3921</c:v>
                </c:pt>
                <c:pt idx="4">
                  <c:v>4231</c:v>
                </c:pt>
                <c:pt idx="5">
                  <c:v>4643</c:v>
                </c:pt>
                <c:pt idx="6">
                  <c:v>4900</c:v>
                </c:pt>
                <c:pt idx="7">
                  <c:v>5519</c:v>
                </c:pt>
                <c:pt idx="8">
                  <c:v>6034</c:v>
                </c:pt>
                <c:pt idx="9">
                  <c:v>6807</c:v>
                </c:pt>
                <c:pt idx="10">
                  <c:v>7270</c:v>
                </c:pt>
                <c:pt idx="11">
                  <c:v>7683</c:v>
                </c:pt>
                <c:pt idx="12">
                  <c:v>7940</c:v>
                </c:pt>
                <c:pt idx="13">
                  <c:v>8198</c:v>
                </c:pt>
                <c:pt idx="14">
                  <c:v>8301</c:v>
                </c:pt>
              </c:numCache>
            </c:numRef>
          </c:xVal>
          <c:yVal>
            <c:numRef>
              <c:f>'Hobby Servo'!$B$4:$B$18</c:f>
              <c:numCache>
                <c:formatCode>General</c:formatCode>
                <c:ptCount val="15"/>
                <c:pt idx="0">
                  <c:v>880</c:v>
                </c:pt>
                <c:pt idx="1">
                  <c:v>847</c:v>
                </c:pt>
                <c:pt idx="2">
                  <c:v>820</c:v>
                </c:pt>
                <c:pt idx="3">
                  <c:v>786</c:v>
                </c:pt>
                <c:pt idx="4">
                  <c:v>745</c:v>
                </c:pt>
                <c:pt idx="5">
                  <c:v>691</c:v>
                </c:pt>
                <c:pt idx="6">
                  <c:v>657</c:v>
                </c:pt>
                <c:pt idx="7">
                  <c:v>576</c:v>
                </c:pt>
                <c:pt idx="8">
                  <c:v>508</c:v>
                </c:pt>
                <c:pt idx="9">
                  <c:v>405</c:v>
                </c:pt>
                <c:pt idx="10">
                  <c:v>345</c:v>
                </c:pt>
                <c:pt idx="11">
                  <c:v>292</c:v>
                </c:pt>
                <c:pt idx="12">
                  <c:v>257</c:v>
                </c:pt>
                <c:pt idx="13">
                  <c:v>224</c:v>
                </c:pt>
                <c:pt idx="14">
                  <c:v>210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733616"/>
        <c:axId val="358734176"/>
      </c:scatterChart>
      <c:valAx>
        <c:axId val="35873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34176"/>
        <c:crosses val="autoZero"/>
        <c:crossBetween val="midCat"/>
      </c:valAx>
      <c:valAx>
        <c:axId val="3587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73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'Hobby Servo'!$C$3</c:f>
              <c:strCache>
                <c:ptCount val="1"/>
                <c:pt idx="0">
                  <c:v>Position 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4533160603833145E-2"/>
                  <c:y val="-0.138783031702189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'Hobby Servo'!$B$4:$B$18</c:f>
              <c:numCache>
                <c:formatCode>General</c:formatCode>
                <c:ptCount val="15"/>
                <c:pt idx="0">
                  <c:v>880</c:v>
                </c:pt>
                <c:pt idx="1">
                  <c:v>847</c:v>
                </c:pt>
                <c:pt idx="2">
                  <c:v>820</c:v>
                </c:pt>
                <c:pt idx="3">
                  <c:v>786</c:v>
                </c:pt>
                <c:pt idx="4">
                  <c:v>745</c:v>
                </c:pt>
                <c:pt idx="5">
                  <c:v>691</c:v>
                </c:pt>
                <c:pt idx="6">
                  <c:v>657</c:v>
                </c:pt>
                <c:pt idx="7">
                  <c:v>576</c:v>
                </c:pt>
                <c:pt idx="8">
                  <c:v>508</c:v>
                </c:pt>
                <c:pt idx="9">
                  <c:v>405</c:v>
                </c:pt>
                <c:pt idx="10">
                  <c:v>345</c:v>
                </c:pt>
                <c:pt idx="11">
                  <c:v>292</c:v>
                </c:pt>
                <c:pt idx="12">
                  <c:v>257</c:v>
                </c:pt>
                <c:pt idx="13">
                  <c:v>224</c:v>
                </c:pt>
                <c:pt idx="14">
                  <c:v>210</c:v>
                </c:pt>
              </c:numCache>
            </c:numRef>
          </c:xVal>
          <c:yVal>
            <c:numRef>
              <c:f>'Hobby Servo'!$C$4:$C$18</c:f>
              <c:numCache>
                <c:formatCode>General</c:formatCode>
                <c:ptCount val="15"/>
                <c:pt idx="0">
                  <c:v>3200</c:v>
                </c:pt>
                <c:pt idx="1">
                  <c:v>3458</c:v>
                </c:pt>
                <c:pt idx="2">
                  <c:v>3664</c:v>
                </c:pt>
                <c:pt idx="3">
                  <c:v>3921</c:v>
                </c:pt>
                <c:pt idx="4">
                  <c:v>4231</c:v>
                </c:pt>
                <c:pt idx="5">
                  <c:v>4643</c:v>
                </c:pt>
                <c:pt idx="6">
                  <c:v>4900</c:v>
                </c:pt>
                <c:pt idx="7">
                  <c:v>5519</c:v>
                </c:pt>
                <c:pt idx="8">
                  <c:v>6034</c:v>
                </c:pt>
                <c:pt idx="9">
                  <c:v>6807</c:v>
                </c:pt>
                <c:pt idx="10">
                  <c:v>7270</c:v>
                </c:pt>
                <c:pt idx="11">
                  <c:v>7683</c:v>
                </c:pt>
                <c:pt idx="12">
                  <c:v>7940</c:v>
                </c:pt>
                <c:pt idx="13">
                  <c:v>8198</c:v>
                </c:pt>
                <c:pt idx="14">
                  <c:v>8301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529952"/>
        <c:axId val="388530512"/>
      </c:scatterChart>
      <c:valAx>
        <c:axId val="38852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30512"/>
        <c:crosses val="autoZero"/>
        <c:crossBetween val="midCat"/>
      </c:valAx>
      <c:valAx>
        <c:axId val="3885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2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314325</xdr:colOff>
      <xdr:row>12</xdr:row>
      <xdr:rowOff>38100</xdr:rowOff>
    </xdr:from>
    <xdr:to>
      <xdr:col>13</xdr:col>
      <xdr:colOff>981075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461962</xdr:colOff>
      <xdr:row>13</xdr:row>
      <xdr:rowOff>19050</xdr:rowOff>
    </xdr:from>
    <xdr:to>
      <xdr:col>19</xdr:col>
      <xdr:colOff>157162</xdr:colOff>
      <xdr:row>27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319087</xdr:colOff>
      <xdr:row>3</xdr:row>
      <xdr:rowOff>47625</xdr:rowOff>
    </xdr:from>
    <xdr:to>
      <xdr:col>20</xdr:col>
      <xdr:colOff>14287</xdr:colOff>
      <xdr:row>17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204787</xdr:colOff>
      <xdr:row>18</xdr:row>
      <xdr:rowOff>152400</xdr:rowOff>
    </xdr:from>
    <xdr:to>
      <xdr:col>19</xdr:col>
      <xdr:colOff>509587</xdr:colOff>
      <xdr:row>33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290512</xdr:colOff>
      <xdr:row>20</xdr:row>
      <xdr:rowOff>171450</xdr:rowOff>
    </xdr:from>
    <xdr:to>
      <xdr:col>11</xdr:col>
      <xdr:colOff>576262</xdr:colOff>
      <xdr:row>35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457200</xdr:colOff>
      <xdr:row>1</xdr:row>
      <xdr:rowOff>104775</xdr:rowOff>
    </xdr:from>
    <xdr:to>
      <xdr:col>20</xdr:col>
      <xdr:colOff>142875</xdr:colOff>
      <xdr:row>12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17</xdr:row>
      <xdr:rowOff>38099</xdr:rowOff>
    </xdr:from>
    <xdr:to>
      <xdr:col>7</xdr:col>
      <xdr:colOff>571500</xdr:colOff>
      <xdr:row>27</xdr:row>
      <xdr:rowOff>123824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738187</xdr:colOff>
      <xdr:row>14</xdr:row>
      <xdr:rowOff>104775</xdr:rowOff>
    </xdr:from>
    <xdr:to>
      <xdr:col>18</xdr:col>
      <xdr:colOff>242887</xdr:colOff>
      <xdr:row>26</xdr:row>
      <xdr:rowOff>166687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</xdr:row>
      <xdr:rowOff>171450</xdr:rowOff>
    </xdr:from>
    <xdr:to>
      <xdr:col>16</xdr:col>
      <xdr:colOff>333375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</xdr:row>
      <xdr:rowOff>152400</xdr:rowOff>
    </xdr:from>
    <xdr:to>
      <xdr:col>24</xdr:col>
      <xdr:colOff>123825</xdr:colOff>
      <xdr:row>21</xdr:row>
      <xdr:rowOff>38100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990600</xdr:colOff>
      <xdr:row>24</xdr:row>
      <xdr:rowOff>47625</xdr:rowOff>
    </xdr:from>
    <xdr:to>
      <xdr:col>13</xdr:col>
      <xdr:colOff>123825</xdr:colOff>
      <xdr:row>38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14</xdr:row>
      <xdr:rowOff>5515</xdr:rowOff>
    </xdr:from>
    <xdr:to>
      <xdr:col>8</xdr:col>
      <xdr:colOff>485775</xdr:colOff>
      <xdr:row>24</xdr:row>
      <xdr:rowOff>56757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2672515"/>
          <a:ext cx="2809875" cy="19562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</xdr:row>
      <xdr:rowOff>0</xdr:rowOff>
    </xdr:from>
    <xdr:to>
      <xdr:col>22</xdr:col>
      <xdr:colOff>515470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104775</xdr:colOff>
      <xdr:row>2</xdr:row>
      <xdr:rowOff>133350</xdr:rowOff>
    </xdr:from>
    <xdr:to>
      <xdr:col>31</xdr:col>
      <xdr:colOff>495300</xdr:colOff>
      <xdr:row>11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123825</xdr:colOff>
      <xdr:row>15</xdr:row>
      <xdr:rowOff>104775</xdr:rowOff>
    </xdr:from>
    <xdr:to>
      <xdr:col>24</xdr:col>
      <xdr:colOff>1114425</xdr:colOff>
      <xdr:row>25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552450</xdr:colOff>
      <xdr:row>43</xdr:row>
      <xdr:rowOff>180974</xdr:rowOff>
    </xdr:from>
    <xdr:to>
      <xdr:col>21</xdr:col>
      <xdr:colOff>161925</xdr:colOff>
      <xdr:row>59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13</xdr:row>
      <xdr:rowOff>152400</xdr:rowOff>
    </xdr:from>
    <xdr:to>
      <xdr:col>14</xdr:col>
      <xdr:colOff>209550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523875</xdr:colOff>
      <xdr:row>2</xdr:row>
      <xdr:rowOff>142874</xdr:rowOff>
    </xdr:from>
    <xdr:to>
      <xdr:col>28</xdr:col>
      <xdr:colOff>533399</xdr:colOff>
      <xdr:row>12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509586</xdr:colOff>
      <xdr:row>1</xdr:row>
      <xdr:rowOff>114300</xdr:rowOff>
    </xdr:from>
    <xdr:to>
      <xdr:col>20</xdr:col>
      <xdr:colOff>495299</xdr:colOff>
      <xdr:row>20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1</xdr:row>
      <xdr:rowOff>57150</xdr:rowOff>
    </xdr:from>
    <xdr:to>
      <xdr:col>11</xdr:col>
      <xdr:colOff>542387</xdr:colOff>
      <xdr:row>17</xdr:row>
      <xdr:rowOff>28198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247650"/>
          <a:ext cx="4304762" cy="3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85" zoomScaleNormal="85" workbookViewId="0">
      <selection activeCell="F35" sqref="F35"/>
    </sheetView>
  </sheetViews>
  <sheetFormatPr defaultRowHeight="15" x14ac:dyDescent="0.25"/>
  <cols>
    <col min="1" max="1" width="19" style="2" customWidth="1"/>
    <col min="2" max="2" width="11.85546875" style="2" customWidth="1"/>
    <col min="3" max="3" width="16.5703125" style="2" customWidth="1"/>
    <col min="4" max="4" width="18.5703125" style="2" customWidth="1"/>
    <col min="5" max="6" width="29.7109375" style="2" customWidth="1"/>
    <col min="7" max="7" width="33.42578125" style="2" customWidth="1"/>
    <col min="8" max="8" width="20.42578125" style="2" customWidth="1"/>
    <col min="9" max="10" width="25.140625" style="2" customWidth="1"/>
    <col min="11" max="11" width="26.85546875" style="2" customWidth="1"/>
    <col min="12" max="12" width="25.7109375" style="2" customWidth="1"/>
    <col min="13" max="14" width="41.28515625" style="2" customWidth="1"/>
    <col min="15" max="15" width="35" style="2" customWidth="1"/>
    <col min="16" max="16384" width="9.140625" style="2"/>
  </cols>
  <sheetData>
    <row r="1" spans="1:17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2" t="s">
        <v>10</v>
      </c>
      <c r="G1" s="2" t="s">
        <v>9</v>
      </c>
      <c r="H1" s="1" t="s">
        <v>6</v>
      </c>
      <c r="I1" s="2" t="s">
        <v>12</v>
      </c>
      <c r="J1" s="2" t="s">
        <v>14</v>
      </c>
      <c r="K1" s="1" t="s">
        <v>11</v>
      </c>
      <c r="L1" s="1" t="s">
        <v>13</v>
      </c>
      <c r="M1" s="1" t="s">
        <v>7</v>
      </c>
      <c r="N1" s="1" t="s">
        <v>15</v>
      </c>
      <c r="O1" s="1"/>
      <c r="P1" s="1"/>
      <c r="Q1" s="1"/>
    </row>
    <row r="2" spans="1:17" x14ac:dyDescent="0.25">
      <c r="A2" s="2" t="s">
        <v>4</v>
      </c>
      <c r="B2" s="3">
        <v>200</v>
      </c>
      <c r="C2" s="3">
        <v>128</v>
      </c>
      <c r="D2" s="4">
        <f>B2*C2</f>
        <v>25600</v>
      </c>
      <c r="E2" s="3">
        <v>1000</v>
      </c>
      <c r="F2" s="9"/>
      <c r="H2" s="3">
        <v>1</v>
      </c>
      <c r="I2" s="12">
        <f>D2/(E2*H2)</f>
        <v>25.6</v>
      </c>
      <c r="J2" s="12">
        <f>1000/I2</f>
        <v>39.0625</v>
      </c>
      <c r="K2" s="10">
        <f>500</f>
        <v>500</v>
      </c>
      <c r="L2" s="13">
        <f>1000/K2</f>
        <v>2</v>
      </c>
      <c r="M2" s="8">
        <f>K2/J2</f>
        <v>12.8</v>
      </c>
      <c r="N2" s="5">
        <f>M2*100000</f>
        <v>1280000</v>
      </c>
    </row>
    <row r="3" spans="1:17" x14ac:dyDescent="0.25">
      <c r="A3" s="2" t="s">
        <v>16</v>
      </c>
      <c r="B3" s="3">
        <v>200</v>
      </c>
      <c r="C3" s="3">
        <v>128</v>
      </c>
      <c r="D3" s="4">
        <f>B3*C3</f>
        <v>25600</v>
      </c>
      <c r="E3" s="3">
        <f>CONVERT(G3,"in","um")</f>
        <v>304.79999999999995</v>
      </c>
      <c r="F3" s="83">
        <v>6.0000000000000002E-5</v>
      </c>
      <c r="G3" s="2">
        <f>F3*200</f>
        <v>1.2E-2</v>
      </c>
      <c r="H3" s="3">
        <v>1</v>
      </c>
      <c r="I3" s="12">
        <f>D3/(E3*H3)</f>
        <v>83.989501312335975</v>
      </c>
      <c r="J3" s="12">
        <f>1000/I3</f>
        <v>11.906249999999998</v>
      </c>
      <c r="K3" s="11">
        <f>1000000/2^14</f>
        <v>61.03515625</v>
      </c>
      <c r="L3" s="13">
        <f>1000/K3</f>
        <v>16.384</v>
      </c>
      <c r="M3" s="7">
        <f>K3/J3</f>
        <v>5.1263123359580058</v>
      </c>
      <c r="N3" s="5">
        <f>M3*100000</f>
        <v>512631.23359580059</v>
      </c>
    </row>
    <row r="4" spans="1:17" x14ac:dyDescent="0.25">
      <c r="A4" s="2" t="s">
        <v>1</v>
      </c>
      <c r="B4" s="3">
        <v>200</v>
      </c>
      <c r="C4" s="3">
        <v>128</v>
      </c>
      <c r="D4" s="4">
        <f>B4*C4</f>
        <v>25600</v>
      </c>
      <c r="E4" s="3">
        <f>CONVERT(G4,"in","um")</f>
        <v>304.79999999999995</v>
      </c>
      <c r="F4" s="3">
        <v>6.0000000000000002E-5</v>
      </c>
      <c r="G4" s="2">
        <f>F4*200</f>
        <v>1.2E-2</v>
      </c>
      <c r="H4" s="3">
        <v>1</v>
      </c>
      <c r="I4" s="12">
        <f>D4/(E4*H4)</f>
        <v>83.989501312335975</v>
      </c>
      <c r="J4" s="12">
        <f>1000/I4</f>
        <v>11.906249999999998</v>
      </c>
      <c r="K4" s="14">
        <f>1000/L4</f>
        <v>211.66666666666669</v>
      </c>
      <c r="L4" s="11">
        <f>(360*4)/(G4*25400)</f>
        <v>4.7244094488188972</v>
      </c>
      <c r="M4" s="7">
        <f>K4/J4</f>
        <v>17.777777777777782</v>
      </c>
      <c r="N4" s="5">
        <f>M4*100000</f>
        <v>1777777.7777777782</v>
      </c>
    </row>
    <row r="5" spans="1:17" x14ac:dyDescent="0.25">
      <c r="G5" s="2">
        <f>(G4/25.4)*1000000</f>
        <v>472.44094488188983</v>
      </c>
      <c r="M5" s="6"/>
    </row>
    <row r="9" spans="1:17" x14ac:dyDescent="0.25">
      <c r="G9" s="2" t="s">
        <v>72</v>
      </c>
      <c r="H9" s="2" t="s">
        <v>75</v>
      </c>
      <c r="I9" s="2" t="s">
        <v>74</v>
      </c>
      <c r="J9" s="2" t="s">
        <v>78</v>
      </c>
      <c r="K9" s="2" t="s">
        <v>73</v>
      </c>
    </row>
    <row r="10" spans="1:17" x14ac:dyDescent="0.25">
      <c r="H10" s="2">
        <v>300</v>
      </c>
      <c r="I10" s="12">
        <f>(MAX_SPEEP*2^-18)/0.00000025</f>
        <v>4577.63671875</v>
      </c>
      <c r="J10" s="18">
        <v>1023</v>
      </c>
      <c r="K10" s="4">
        <f>(J10-511)*2*MAX_SPEEP</f>
        <v>307200</v>
      </c>
    </row>
    <row r="11" spans="1:17" x14ac:dyDescent="0.25">
      <c r="J11" s="18">
        <v>985</v>
      </c>
      <c r="K11" s="4">
        <f>(J11-511)*2*MAX_SPEEP</f>
        <v>284400</v>
      </c>
    </row>
    <row r="12" spans="1:17" x14ac:dyDescent="0.25">
      <c r="G12" s="2" t="s">
        <v>79</v>
      </c>
      <c r="H12" s="2" t="s">
        <v>76</v>
      </c>
      <c r="I12" s="2" t="s">
        <v>77</v>
      </c>
      <c r="J12" s="2" t="s">
        <v>81</v>
      </c>
    </row>
    <row r="14" spans="1:17" x14ac:dyDescent="0.25">
      <c r="G14" s="21" t="s">
        <v>80</v>
      </c>
      <c r="H14" s="22" t="s">
        <v>77</v>
      </c>
      <c r="I14" s="22"/>
      <c r="J14" s="22" t="s">
        <v>83</v>
      </c>
      <c r="K14" s="22"/>
      <c r="L14" s="23" t="s">
        <v>82</v>
      </c>
    </row>
    <row r="15" spans="1:17" x14ac:dyDescent="0.25">
      <c r="G15" s="24"/>
      <c r="H15" s="19"/>
      <c r="I15" s="19"/>
      <c r="J15" s="20">
        <v>1</v>
      </c>
      <c r="K15" s="19">
        <v>2</v>
      </c>
      <c r="L15" s="25">
        <f t="shared" ref="L15:L21" si="0">MAX_SPEEP*K15</f>
        <v>600</v>
      </c>
    </row>
    <row r="16" spans="1:17" x14ac:dyDescent="0.25">
      <c r="G16" s="24"/>
      <c r="H16" s="19"/>
      <c r="I16" s="19"/>
      <c r="J16" s="19">
        <v>2</v>
      </c>
      <c r="K16" s="19">
        <v>12</v>
      </c>
      <c r="L16" s="25">
        <f t="shared" si="0"/>
        <v>3600</v>
      </c>
    </row>
    <row r="17" spans="4:12" x14ac:dyDescent="0.25">
      <c r="G17" s="24"/>
      <c r="H17" s="19"/>
      <c r="I17" s="19"/>
      <c r="J17" s="19">
        <v>3</v>
      </c>
      <c r="K17" s="19">
        <v>26</v>
      </c>
      <c r="L17" s="25">
        <f t="shared" si="0"/>
        <v>7800</v>
      </c>
    </row>
    <row r="18" spans="4:12" x14ac:dyDescent="0.25">
      <c r="G18" s="24"/>
      <c r="H18" s="19"/>
      <c r="I18" s="19"/>
      <c r="J18" s="20">
        <v>4</v>
      </c>
      <c r="K18" s="19">
        <v>51</v>
      </c>
      <c r="L18" s="25">
        <f t="shared" si="0"/>
        <v>15300</v>
      </c>
    </row>
    <row r="19" spans="4:12" x14ac:dyDescent="0.25">
      <c r="G19" s="24"/>
      <c r="H19" s="19"/>
      <c r="I19" s="19"/>
      <c r="J19" s="19">
        <v>5</v>
      </c>
      <c r="K19" s="19">
        <v>200</v>
      </c>
      <c r="L19" s="25">
        <f t="shared" si="0"/>
        <v>60000</v>
      </c>
    </row>
    <row r="20" spans="4:12" x14ac:dyDescent="0.25">
      <c r="G20" s="24"/>
      <c r="H20" s="19"/>
      <c r="I20" s="19"/>
      <c r="J20" s="19">
        <v>6</v>
      </c>
      <c r="K20" s="19">
        <v>512</v>
      </c>
      <c r="L20" s="25">
        <f t="shared" si="0"/>
        <v>153600</v>
      </c>
    </row>
    <row r="21" spans="4:12" x14ac:dyDescent="0.25">
      <c r="E21" s="2" t="s">
        <v>64</v>
      </c>
      <c r="G21" s="26"/>
      <c r="H21" s="27"/>
      <c r="I21" s="27"/>
      <c r="J21" s="28">
        <v>7</v>
      </c>
      <c r="K21" s="27">
        <v>1024</v>
      </c>
      <c r="L21" s="29">
        <f t="shared" si="0"/>
        <v>307200</v>
      </c>
    </row>
    <row r="22" spans="4:12" x14ac:dyDescent="0.25">
      <c r="E22" s="2" t="s">
        <v>65</v>
      </c>
      <c r="F22" s="2" t="s">
        <v>68</v>
      </c>
      <c r="G22" s="2" t="s">
        <v>66</v>
      </c>
      <c r="H22" s="2" t="s">
        <v>69</v>
      </c>
      <c r="I22" s="2" t="s">
        <v>67</v>
      </c>
      <c r="J22" s="2" t="s">
        <v>70</v>
      </c>
    </row>
    <row r="23" spans="4:12" x14ac:dyDescent="0.25">
      <c r="E23" s="2">
        <v>0</v>
      </c>
      <c r="F23" s="2">
        <v>0</v>
      </c>
      <c r="G23" s="2">
        <v>2</v>
      </c>
      <c r="H23" s="2">
        <v>0</v>
      </c>
      <c r="I23" s="5">
        <f t="shared" ref="I23:I28" si="1">G23*nanos_npc</f>
        <v>122.0703125</v>
      </c>
      <c r="J23" s="2">
        <v>0</v>
      </c>
      <c r="K23" s="2">
        <f t="shared" ref="K23:K28" si="2">E23/nanos_spe</f>
        <v>0</v>
      </c>
    </row>
    <row r="24" spans="4:12" x14ac:dyDescent="0.25">
      <c r="E24" s="2">
        <v>15</v>
      </c>
      <c r="F24" s="2">
        <f>E24-E23</f>
        <v>15</v>
      </c>
      <c r="G24" s="2">
        <v>4</v>
      </c>
      <c r="H24" s="2">
        <f>G24-G23</f>
        <v>2</v>
      </c>
      <c r="I24" s="5">
        <f t="shared" si="1"/>
        <v>244.140625</v>
      </c>
      <c r="J24" s="2">
        <f>F24/nanos_spe</f>
        <v>2.9260799999999998</v>
      </c>
      <c r="K24" s="2">
        <f t="shared" si="2"/>
        <v>2.9260799999999998</v>
      </c>
    </row>
    <row r="25" spans="4:12" x14ac:dyDescent="0.25">
      <c r="E25" s="2">
        <v>31</v>
      </c>
      <c r="F25" s="2">
        <f t="shared" ref="F25:F28" si="3">E25-E24</f>
        <v>16</v>
      </c>
      <c r="G25" s="2">
        <v>7</v>
      </c>
      <c r="H25" s="2">
        <f t="shared" ref="H25:H28" si="4">G25-G24</f>
        <v>3</v>
      </c>
      <c r="I25" s="5">
        <f t="shared" si="1"/>
        <v>427.24609375</v>
      </c>
      <c r="J25" s="2">
        <f>F25/nanos_spe</f>
        <v>3.1211519999999995</v>
      </c>
      <c r="K25" s="2">
        <f t="shared" si="2"/>
        <v>6.0472319999999993</v>
      </c>
    </row>
    <row r="26" spans="4:12" x14ac:dyDescent="0.25">
      <c r="E26" s="2">
        <v>50</v>
      </c>
      <c r="F26" s="2">
        <f t="shared" si="3"/>
        <v>19</v>
      </c>
      <c r="G26" s="2">
        <v>11</v>
      </c>
      <c r="H26" s="2">
        <f t="shared" si="4"/>
        <v>4</v>
      </c>
      <c r="I26" s="5">
        <f t="shared" si="1"/>
        <v>671.38671875</v>
      </c>
      <c r="J26" s="2">
        <f>F26/nanos_spe</f>
        <v>3.7063679999999994</v>
      </c>
      <c r="K26" s="2">
        <f t="shared" si="2"/>
        <v>9.7535999999999987</v>
      </c>
    </row>
    <row r="27" spans="4:12" x14ac:dyDescent="0.25">
      <c r="E27" s="2">
        <v>67</v>
      </c>
      <c r="F27" s="2">
        <f t="shared" si="3"/>
        <v>17</v>
      </c>
      <c r="G27" s="2">
        <v>19</v>
      </c>
      <c r="H27" s="2">
        <f t="shared" si="4"/>
        <v>8</v>
      </c>
      <c r="I27" s="5">
        <f t="shared" si="1"/>
        <v>1159.66796875</v>
      </c>
      <c r="J27" s="2">
        <f>F27/nanos_spe</f>
        <v>3.3162239999999996</v>
      </c>
      <c r="K27" s="2">
        <f t="shared" si="2"/>
        <v>13.069823999999999</v>
      </c>
    </row>
    <row r="28" spans="4:12" x14ac:dyDescent="0.25">
      <c r="E28" s="2">
        <v>85</v>
      </c>
      <c r="F28" s="2">
        <f t="shared" si="3"/>
        <v>18</v>
      </c>
      <c r="G28" s="2">
        <v>25</v>
      </c>
      <c r="H28" s="2">
        <f t="shared" si="4"/>
        <v>6</v>
      </c>
      <c r="I28" s="5">
        <f t="shared" si="1"/>
        <v>1525.87890625</v>
      </c>
      <c r="J28" s="2">
        <f>F28/nanos_spe</f>
        <v>3.5112959999999998</v>
      </c>
      <c r="K28" s="2">
        <f t="shared" si="2"/>
        <v>16.581119999999999</v>
      </c>
    </row>
    <row r="30" spans="4:12" x14ac:dyDescent="0.25">
      <c r="D30" s="2" t="s">
        <v>71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3"/>
  <sheetViews>
    <sheetView workbookViewId="0">
      <selection activeCell="N12" sqref="N12"/>
    </sheetView>
  </sheetViews>
  <sheetFormatPr defaultRowHeight="15" x14ac:dyDescent="0.25"/>
  <cols>
    <col min="5" max="5" width="15.28515625" customWidth="1"/>
    <col min="7" max="7" width="12.5703125" customWidth="1"/>
  </cols>
  <sheetData>
    <row r="2" spans="3:11" x14ac:dyDescent="0.25">
      <c r="C2" t="s">
        <v>251</v>
      </c>
    </row>
    <row r="3" spans="3:11" x14ac:dyDescent="0.25">
      <c r="D3" t="s">
        <v>249</v>
      </c>
      <c r="E3" t="s">
        <v>250</v>
      </c>
      <c r="F3" t="s">
        <v>207</v>
      </c>
    </row>
    <row r="4" spans="3:11" x14ac:dyDescent="0.25">
      <c r="C4">
        <v>1</v>
      </c>
      <c r="D4">
        <v>1E-4</v>
      </c>
      <c r="E4">
        <v>134</v>
      </c>
      <c r="G4">
        <f>61/E4</f>
        <v>0.45522388059701491</v>
      </c>
    </row>
    <row r="5" spans="3:11" x14ac:dyDescent="0.25">
      <c r="C5">
        <v>2</v>
      </c>
      <c r="D5">
        <v>2.0000000000000001E-4</v>
      </c>
      <c r="E5">
        <v>269</v>
      </c>
      <c r="F5">
        <f>E5-E4</f>
        <v>135</v>
      </c>
      <c r="G5">
        <f t="shared" ref="G5:G8" si="0">61/E5</f>
        <v>0.22676579925650558</v>
      </c>
      <c r="H5">
        <f>E5*D5</f>
        <v>5.3800000000000001E-2</v>
      </c>
      <c r="I5">
        <f>1/H5</f>
        <v>18.587360594795538</v>
      </c>
      <c r="K5">
        <f>77*F5</f>
        <v>10395</v>
      </c>
    </row>
    <row r="6" spans="3:11" x14ac:dyDescent="0.25">
      <c r="C6">
        <v>3</v>
      </c>
      <c r="D6">
        <v>2.9999999999999997E-4</v>
      </c>
      <c r="E6">
        <v>403</v>
      </c>
      <c r="F6">
        <f t="shared" ref="F6:F8" si="1">E6-E5</f>
        <v>134</v>
      </c>
      <c r="G6">
        <f t="shared" si="0"/>
        <v>0.15136476426799009</v>
      </c>
      <c r="H6">
        <f t="shared" ref="H6:H7" si="2">E6*D6</f>
        <v>0.12089999999999999</v>
      </c>
      <c r="I6">
        <f t="shared" ref="I6:I7" si="3">1/H6</f>
        <v>8.2712985938792389</v>
      </c>
      <c r="K6">
        <f t="shared" ref="K6:K8" si="4">77*F6</f>
        <v>10318</v>
      </c>
    </row>
    <row r="7" spans="3:11" x14ac:dyDescent="0.25">
      <c r="C7">
        <v>4</v>
      </c>
      <c r="D7">
        <v>4.0000000000000002E-4</v>
      </c>
      <c r="E7">
        <v>538</v>
      </c>
      <c r="F7">
        <f t="shared" si="1"/>
        <v>135</v>
      </c>
      <c r="G7">
        <f t="shared" si="0"/>
        <v>0.11338289962825279</v>
      </c>
      <c r="H7">
        <f t="shared" si="2"/>
        <v>0.2152</v>
      </c>
      <c r="I7">
        <f t="shared" si="3"/>
        <v>4.6468401486988844</v>
      </c>
      <c r="K7">
        <f t="shared" si="4"/>
        <v>10395</v>
      </c>
    </row>
    <row r="8" spans="3:11" x14ac:dyDescent="0.25">
      <c r="C8">
        <v>5</v>
      </c>
      <c r="D8">
        <v>5.0000000000000001E-4</v>
      </c>
      <c r="E8">
        <v>672</v>
      </c>
      <c r="F8">
        <f t="shared" si="1"/>
        <v>134</v>
      </c>
      <c r="G8">
        <f t="shared" si="0"/>
        <v>9.0773809523809521E-2</v>
      </c>
      <c r="K8">
        <f t="shared" si="4"/>
        <v>10318</v>
      </c>
    </row>
    <row r="9" spans="3:11" x14ac:dyDescent="0.25">
      <c r="C9">
        <v>6</v>
      </c>
      <c r="D9">
        <v>5.9999999999999995E-4</v>
      </c>
    </row>
    <row r="10" spans="3:11" x14ac:dyDescent="0.25">
      <c r="C10">
        <v>7</v>
      </c>
      <c r="D10">
        <v>6.9999999999999999E-4</v>
      </c>
    </row>
    <row r="11" spans="3:11" x14ac:dyDescent="0.25">
      <c r="C11">
        <v>8</v>
      </c>
      <c r="D11">
        <v>8.0000000000000004E-4</v>
      </c>
    </row>
    <row r="12" spans="3:11" x14ac:dyDescent="0.25">
      <c r="C12">
        <v>9</v>
      </c>
      <c r="D12">
        <v>8.9999999999999998E-4</v>
      </c>
    </row>
    <row r="13" spans="3:11" x14ac:dyDescent="0.25">
      <c r="C13">
        <v>10</v>
      </c>
      <c r="D13">
        <v>1E-3</v>
      </c>
    </row>
    <row r="14" spans="3:11" x14ac:dyDescent="0.25">
      <c r="C14">
        <v>11</v>
      </c>
      <c r="D14">
        <v>1.1000000000000001E-3</v>
      </c>
    </row>
    <row r="15" spans="3:11" x14ac:dyDescent="0.25">
      <c r="C15">
        <v>12</v>
      </c>
      <c r="D15">
        <v>1.1999999999999999E-3</v>
      </c>
    </row>
    <row r="16" spans="3:11" x14ac:dyDescent="0.25">
      <c r="C16">
        <v>13</v>
      </c>
      <c r="D16">
        <v>1.2999999999999999E-3</v>
      </c>
    </row>
    <row r="17" spans="8:10" x14ac:dyDescent="0.25">
      <c r="H17" t="s">
        <v>30</v>
      </c>
      <c r="I17">
        <f>1023/2</f>
        <v>511.5</v>
      </c>
    </row>
    <row r="19" spans="8:10" x14ac:dyDescent="0.25">
      <c r="I19" t="s">
        <v>368</v>
      </c>
      <c r="J19" t="s">
        <v>369</v>
      </c>
    </row>
    <row r="20" spans="8:10" x14ac:dyDescent="0.25">
      <c r="I20">
        <v>53248</v>
      </c>
      <c r="J20">
        <v>10</v>
      </c>
    </row>
    <row r="21" spans="8:10" x14ac:dyDescent="0.25">
      <c r="I21">
        <v>1000</v>
      </c>
      <c r="J21">
        <f>center-10</f>
        <v>501.5</v>
      </c>
    </row>
    <row r="22" spans="8:10" x14ac:dyDescent="0.25">
      <c r="I22">
        <f>I21</f>
        <v>1000</v>
      </c>
      <c r="J22">
        <f>center+10</f>
        <v>521.5</v>
      </c>
    </row>
    <row r="23" spans="8:10" x14ac:dyDescent="0.25">
      <c r="I23">
        <f>I20</f>
        <v>53248</v>
      </c>
      <c r="J23">
        <f>1023-10</f>
        <v>1013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14"/>
  <sheetViews>
    <sheetView workbookViewId="0">
      <selection activeCell="I7" sqref="I7"/>
    </sheetView>
  </sheetViews>
  <sheetFormatPr defaultRowHeight="15" x14ac:dyDescent="0.25"/>
  <cols>
    <col min="1" max="1" width="9.140625" style="2"/>
    <col min="2" max="2" width="22.42578125" style="45" customWidth="1"/>
    <col min="3" max="5" width="20" style="2" customWidth="1"/>
    <col min="6" max="8" width="9.140625" style="2"/>
    <col min="9" max="9" width="13.5703125" style="2" customWidth="1"/>
    <col min="10" max="10" width="14.85546875" style="2" customWidth="1"/>
    <col min="11" max="16384" width="9.140625" style="2"/>
  </cols>
  <sheetData>
    <row r="2" spans="2:10" x14ac:dyDescent="0.25">
      <c r="B2" s="73" t="s">
        <v>301</v>
      </c>
      <c r="C2" s="74" t="s">
        <v>300</v>
      </c>
      <c r="D2" s="74" t="s">
        <v>303</v>
      </c>
      <c r="E2" s="74" t="s">
        <v>302</v>
      </c>
    </row>
    <row r="3" spans="2:10" x14ac:dyDescent="0.25">
      <c r="B3" s="75" t="s">
        <v>318</v>
      </c>
      <c r="C3" s="76" t="s">
        <v>319</v>
      </c>
      <c r="D3" s="76" t="s">
        <v>320</v>
      </c>
      <c r="E3" s="76" t="s">
        <v>321</v>
      </c>
      <c r="I3" s="45" t="s">
        <v>334</v>
      </c>
    </row>
    <row r="4" spans="2:10" x14ac:dyDescent="0.25">
      <c r="B4" s="75" t="s">
        <v>304</v>
      </c>
      <c r="C4" s="77">
        <v>12.16</v>
      </c>
      <c r="D4" s="59">
        <v>7.96</v>
      </c>
      <c r="E4" s="77">
        <v>12.16</v>
      </c>
    </row>
    <row r="5" spans="2:10" x14ac:dyDescent="0.25">
      <c r="B5" s="75" t="s">
        <v>305</v>
      </c>
      <c r="C5" s="77" t="s">
        <v>306</v>
      </c>
      <c r="D5" s="77" t="s">
        <v>307</v>
      </c>
      <c r="E5" s="77" t="s">
        <v>306</v>
      </c>
      <c r="I5" s="2" t="s">
        <v>335</v>
      </c>
      <c r="J5" s="2" t="s">
        <v>336</v>
      </c>
    </row>
    <row r="6" spans="2:10" x14ac:dyDescent="0.25">
      <c r="B6" s="75" t="s">
        <v>325</v>
      </c>
      <c r="C6" s="77">
        <v>0.8</v>
      </c>
      <c r="D6" s="77">
        <v>0.65</v>
      </c>
      <c r="E6" s="77">
        <v>0.8</v>
      </c>
      <c r="I6" s="2" t="s">
        <v>337</v>
      </c>
    </row>
    <row r="7" spans="2:10" x14ac:dyDescent="0.25">
      <c r="B7" s="75" t="s">
        <v>327</v>
      </c>
      <c r="C7" s="77" t="s">
        <v>328</v>
      </c>
      <c r="D7" s="77" t="s">
        <v>329</v>
      </c>
      <c r="E7" s="77" t="s">
        <v>326</v>
      </c>
      <c r="I7" s="2" t="s">
        <v>338</v>
      </c>
    </row>
    <row r="8" spans="2:10" x14ac:dyDescent="0.25">
      <c r="B8" s="75" t="s">
        <v>139</v>
      </c>
      <c r="C8" s="77" t="s">
        <v>308</v>
      </c>
      <c r="D8" s="77" t="s">
        <v>322</v>
      </c>
      <c r="E8" s="79" t="s">
        <v>330</v>
      </c>
    </row>
    <row r="9" spans="2:10" x14ac:dyDescent="0.25">
      <c r="B9" s="75" t="s">
        <v>309</v>
      </c>
      <c r="C9" s="77">
        <v>63</v>
      </c>
      <c r="D9" s="77">
        <v>79</v>
      </c>
      <c r="E9" s="77">
        <v>75</v>
      </c>
    </row>
    <row r="10" spans="2:10" x14ac:dyDescent="0.25">
      <c r="B10" s="75" t="s">
        <v>310</v>
      </c>
      <c r="C10" s="77" t="s">
        <v>311</v>
      </c>
      <c r="D10" s="77" t="s">
        <v>323</v>
      </c>
      <c r="E10" s="77" t="s">
        <v>331</v>
      </c>
    </row>
    <row r="11" spans="2:10" x14ac:dyDescent="0.25">
      <c r="B11" s="75" t="s">
        <v>312</v>
      </c>
      <c r="C11" s="77" t="s">
        <v>313</v>
      </c>
      <c r="D11" s="77" t="s">
        <v>324</v>
      </c>
      <c r="E11" s="77" t="s">
        <v>332</v>
      </c>
    </row>
    <row r="12" spans="2:10" x14ac:dyDescent="0.25">
      <c r="B12" s="75" t="s">
        <v>314</v>
      </c>
      <c r="C12" s="78" t="s">
        <v>315</v>
      </c>
      <c r="D12" s="78" t="s">
        <v>316</v>
      </c>
      <c r="E12" s="78" t="s">
        <v>315</v>
      </c>
    </row>
    <row r="13" spans="2:10" x14ac:dyDescent="0.25">
      <c r="B13" s="75" t="s">
        <v>317</v>
      </c>
      <c r="C13" s="78">
        <v>4</v>
      </c>
      <c r="D13" s="78">
        <v>4</v>
      </c>
      <c r="E13" s="78">
        <v>8</v>
      </c>
    </row>
    <row r="14" spans="2:10" x14ac:dyDescent="0.25">
      <c r="B14" s="72"/>
      <c r="E14" s="2" t="s">
        <v>333</v>
      </c>
    </row>
  </sheetData>
  <pageMargins left="0.7" right="0.7" top="0.75" bottom="0.75" header="0.3" footer="0.3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L13" sqref="L13"/>
    </sheetView>
  </sheetViews>
  <sheetFormatPr defaultRowHeight="15" x14ac:dyDescent="0.25"/>
  <cols>
    <col min="2" max="2" width="14.140625" customWidth="1"/>
    <col min="3" max="3" width="16" customWidth="1"/>
    <col min="4" max="4" width="15.28515625" bestFit="1" customWidth="1"/>
    <col min="7" max="7" width="18.5703125" customWidth="1"/>
    <col min="8" max="10" width="9.140625" style="89"/>
    <col min="12" max="12" width="11.42578125" customWidth="1"/>
  </cols>
  <sheetData>
    <row r="1" spans="1:12" x14ac:dyDescent="0.25">
      <c r="A1" t="s">
        <v>381</v>
      </c>
    </row>
    <row r="2" spans="1:12" x14ac:dyDescent="0.25">
      <c r="G2" s="109" t="s">
        <v>387</v>
      </c>
    </row>
    <row r="3" spans="1:12" x14ac:dyDescent="0.25">
      <c r="B3" t="s">
        <v>382</v>
      </c>
      <c r="G3" s="108" t="s">
        <v>386</v>
      </c>
    </row>
    <row r="4" spans="1:12" x14ac:dyDescent="0.25">
      <c r="B4" t="s">
        <v>383</v>
      </c>
      <c r="C4">
        <v>3.3</v>
      </c>
    </row>
    <row r="5" spans="1:12" x14ac:dyDescent="0.25">
      <c r="B5" t="s">
        <v>196</v>
      </c>
      <c r="C5">
        <v>4095</v>
      </c>
      <c r="D5">
        <v>4095</v>
      </c>
      <c r="H5" s="30" t="s">
        <v>44</v>
      </c>
      <c r="I5" s="89" t="s">
        <v>388</v>
      </c>
      <c r="J5" s="89" t="s">
        <v>389</v>
      </c>
      <c r="K5" t="s">
        <v>390</v>
      </c>
      <c r="L5" t="s">
        <v>404</v>
      </c>
    </row>
    <row r="6" spans="1:12" x14ac:dyDescent="0.25">
      <c r="B6" t="s">
        <v>384</v>
      </c>
      <c r="C6" s="62">
        <v>2217</v>
      </c>
      <c r="D6">
        <v>2210</v>
      </c>
      <c r="H6" s="89">
        <v>0</v>
      </c>
      <c r="I6" s="89">
        <f>CONVERT(H6,"C","F")</f>
        <v>32</v>
      </c>
      <c r="J6" s="89">
        <v>32.33</v>
      </c>
      <c r="K6" s="51">
        <f>(3.3*10)/(J6+10)</f>
        <v>0.77958894401133949</v>
      </c>
      <c r="L6">
        <v>0</v>
      </c>
    </row>
    <row r="7" spans="1:12" x14ac:dyDescent="0.25">
      <c r="B7" t="s">
        <v>400</v>
      </c>
      <c r="C7">
        <f>3.3*C6</f>
        <v>7316.0999999999995</v>
      </c>
      <c r="H7" s="89">
        <f>H6+5</f>
        <v>5</v>
      </c>
      <c r="I7" s="89">
        <f t="shared" ref="I7:I19" si="0">CONVERT(H7,"C","F")</f>
        <v>41</v>
      </c>
      <c r="J7" s="89">
        <v>25.193999999999999</v>
      </c>
      <c r="K7" s="51">
        <f t="shared" ref="K7:K19" si="1">(3.3*10)/(J7+10)</f>
        <v>0.93765982837983741</v>
      </c>
      <c r="L7">
        <v>0</v>
      </c>
    </row>
    <row r="8" spans="1:12" x14ac:dyDescent="0.25">
      <c r="B8" t="s">
        <v>385</v>
      </c>
      <c r="C8">
        <f>C7/C5</f>
        <v>1.7865934065934064</v>
      </c>
      <c r="H8" s="89">
        <f t="shared" ref="H8:H19" si="2">H7+5</f>
        <v>10</v>
      </c>
      <c r="I8" s="89">
        <f t="shared" si="0"/>
        <v>50</v>
      </c>
      <c r="J8" s="89">
        <v>19.785</v>
      </c>
      <c r="K8" s="51">
        <f t="shared" si="1"/>
        <v>1.107940238375021</v>
      </c>
      <c r="L8">
        <v>0</v>
      </c>
    </row>
    <row r="9" spans="1:12" x14ac:dyDescent="0.25">
      <c r="H9" s="89">
        <f t="shared" si="2"/>
        <v>15</v>
      </c>
      <c r="I9" s="89">
        <f t="shared" si="0"/>
        <v>59</v>
      </c>
      <c r="J9" s="89">
        <v>15.651</v>
      </c>
      <c r="K9" s="51">
        <f t="shared" si="1"/>
        <v>1.2864995516743987</v>
      </c>
      <c r="L9">
        <v>0</v>
      </c>
    </row>
    <row r="10" spans="1:12" x14ac:dyDescent="0.25">
      <c r="H10" s="89">
        <f t="shared" si="2"/>
        <v>20</v>
      </c>
      <c r="I10" s="89">
        <f t="shared" si="0"/>
        <v>68</v>
      </c>
      <c r="J10" s="89">
        <v>12.468</v>
      </c>
      <c r="K10" s="51">
        <f t="shared" si="1"/>
        <v>1.4687555634680434</v>
      </c>
      <c r="L10">
        <v>0</v>
      </c>
    </row>
    <row r="11" spans="1:12" x14ac:dyDescent="0.25">
      <c r="H11" s="89">
        <f t="shared" si="2"/>
        <v>25</v>
      </c>
      <c r="I11" s="89">
        <f t="shared" si="0"/>
        <v>77</v>
      </c>
      <c r="J11" s="89">
        <v>10</v>
      </c>
      <c r="K11" s="51">
        <f t="shared" si="1"/>
        <v>1.65</v>
      </c>
      <c r="L11">
        <v>0</v>
      </c>
    </row>
    <row r="12" spans="1:12" x14ac:dyDescent="0.25">
      <c r="H12" s="89">
        <f t="shared" si="2"/>
        <v>30</v>
      </c>
      <c r="I12" s="89">
        <f t="shared" si="0"/>
        <v>86</v>
      </c>
      <c r="J12" s="89">
        <v>8.0719999999999992</v>
      </c>
      <c r="K12" s="51">
        <f t="shared" si="1"/>
        <v>1.8260292164674636</v>
      </c>
      <c r="L12">
        <v>20</v>
      </c>
    </row>
    <row r="13" spans="1:12" x14ac:dyDescent="0.25">
      <c r="H13" s="89">
        <f t="shared" si="2"/>
        <v>35</v>
      </c>
      <c r="I13" s="89">
        <f t="shared" si="0"/>
        <v>95</v>
      </c>
      <c r="J13" s="89">
        <v>6.556</v>
      </c>
      <c r="K13" s="51">
        <f t="shared" si="1"/>
        <v>1.9932350809374244</v>
      </c>
      <c r="L13">
        <v>50</v>
      </c>
    </row>
    <row r="14" spans="1:12" x14ac:dyDescent="0.25">
      <c r="B14" t="s">
        <v>391</v>
      </c>
      <c r="C14" s="16">
        <f>((C4*10000)/C8)-10000</f>
        <v>8470.9066305818706</v>
      </c>
      <c r="H14" s="89">
        <f t="shared" si="2"/>
        <v>40</v>
      </c>
      <c r="I14" s="89">
        <f t="shared" si="0"/>
        <v>104</v>
      </c>
      <c r="J14" s="89">
        <v>5.3559999999999999</v>
      </c>
      <c r="K14" s="51">
        <f t="shared" si="1"/>
        <v>2.1489971346704873</v>
      </c>
      <c r="L14">
        <v>210</v>
      </c>
    </row>
    <row r="15" spans="1:12" x14ac:dyDescent="0.25">
      <c r="B15" t="s">
        <v>392</v>
      </c>
      <c r="C15" s="66">
        <f>C14/10000</f>
        <v>0.84709066305818703</v>
      </c>
      <c r="H15" s="89">
        <f t="shared" si="2"/>
        <v>45</v>
      </c>
      <c r="I15" s="89">
        <f t="shared" si="0"/>
        <v>113</v>
      </c>
      <c r="J15" s="89">
        <v>4.4009999999999998</v>
      </c>
      <c r="K15" s="51">
        <f t="shared" si="1"/>
        <v>2.2915075341990141</v>
      </c>
      <c r="L15">
        <v>210</v>
      </c>
    </row>
    <row r="16" spans="1:12" x14ac:dyDescent="0.25">
      <c r="B16" t="s">
        <v>393</v>
      </c>
      <c r="C16">
        <f>LN(C15)</f>
        <v>-0.16594754984810289</v>
      </c>
      <c r="H16" s="89">
        <f t="shared" si="2"/>
        <v>50</v>
      </c>
      <c r="I16" s="89">
        <f t="shared" si="0"/>
        <v>122</v>
      </c>
      <c r="J16" s="89">
        <v>3.6349999999999998</v>
      </c>
      <c r="K16" s="51">
        <f t="shared" si="1"/>
        <v>2.4202420242024201</v>
      </c>
      <c r="L16">
        <v>210</v>
      </c>
    </row>
    <row r="17" spans="2:12" x14ac:dyDescent="0.25">
      <c r="B17" t="s">
        <v>394</v>
      </c>
      <c r="C17">
        <f>C16/3900</f>
        <v>-4.2550653807205869E-5</v>
      </c>
      <c r="H17" s="89">
        <f t="shared" si="2"/>
        <v>55</v>
      </c>
      <c r="I17" s="89">
        <f t="shared" si="0"/>
        <v>131</v>
      </c>
      <c r="J17" s="89">
        <v>3.0190000000000001</v>
      </c>
      <c r="K17" s="51">
        <f t="shared" si="1"/>
        <v>2.5347568937706431</v>
      </c>
      <c r="L17">
        <v>210</v>
      </c>
    </row>
    <row r="18" spans="2:12" x14ac:dyDescent="0.25">
      <c r="B18" t="s">
        <v>395</v>
      </c>
      <c r="C18">
        <f>C17+1/(25+273.15)</f>
        <v>3.3114657808733243E-3</v>
      </c>
      <c r="H18" s="89">
        <f t="shared" si="2"/>
        <v>60</v>
      </c>
      <c r="I18" s="89">
        <f t="shared" si="0"/>
        <v>140</v>
      </c>
      <c r="J18" s="89">
        <v>2.5209999999999999</v>
      </c>
      <c r="K18" s="51">
        <f t="shared" si="1"/>
        <v>2.6355722386390861</v>
      </c>
      <c r="L18">
        <v>210</v>
      </c>
    </row>
    <row r="19" spans="2:12" x14ac:dyDescent="0.25">
      <c r="B19" t="s">
        <v>396</v>
      </c>
      <c r="C19">
        <f>1/C18</f>
        <v>301.98107610711065</v>
      </c>
      <c r="H19" s="89">
        <f t="shared" si="2"/>
        <v>65</v>
      </c>
      <c r="I19" s="89">
        <f t="shared" si="0"/>
        <v>149</v>
      </c>
      <c r="J19" s="89">
        <v>2.1150000000000002</v>
      </c>
      <c r="K19" s="51">
        <f t="shared" si="1"/>
        <v>2.7238959966983076</v>
      </c>
      <c r="L19">
        <v>210</v>
      </c>
    </row>
    <row r="20" spans="2:12" x14ac:dyDescent="0.25">
      <c r="B20" t="s">
        <v>397</v>
      </c>
      <c r="C20">
        <f>C19-273.15</f>
        <v>28.831076107110675</v>
      </c>
      <c r="K20" s="51"/>
    </row>
    <row r="21" spans="2:12" x14ac:dyDescent="0.25">
      <c r="B21" t="s">
        <v>398</v>
      </c>
      <c r="C21">
        <f>(C20*1.8)+32</f>
        <v>83.895936992799221</v>
      </c>
      <c r="K21" s="51"/>
    </row>
    <row r="22" spans="2:12" x14ac:dyDescent="0.25">
      <c r="I22" s="89" t="s">
        <v>399</v>
      </c>
      <c r="J22" s="110">
        <v>78</v>
      </c>
      <c r="K22" s="51"/>
    </row>
    <row r="23" spans="2:12" x14ac:dyDescent="0.25">
      <c r="I23" s="89" t="s">
        <v>389</v>
      </c>
      <c r="J23" s="111">
        <f>-0.00003*x^3 + 0.0104*x^2 - 1.3619*x + 65.785</f>
        <v>8.5938399999999717</v>
      </c>
      <c r="K23" s="51"/>
    </row>
    <row r="24" spans="2:12" x14ac:dyDescent="0.25">
      <c r="K24" s="51"/>
    </row>
    <row r="25" spans="2:12" x14ac:dyDescent="0.25">
      <c r="B25" t="s">
        <v>391</v>
      </c>
      <c r="C25" s="16">
        <f>10000*((4096/C6)-1)</f>
        <v>8475.4172304916556</v>
      </c>
      <c r="D25">
        <f>((4096/C6)-1)</f>
        <v>0.84754172304916553</v>
      </c>
    </row>
    <row r="26" spans="2:12" x14ac:dyDescent="0.25">
      <c r="B26" t="s">
        <v>403</v>
      </c>
      <c r="C26" s="56">
        <f>(3900 * 273.15) /(3900 + (273.15 * LOG(C25 / 10000)))</f>
        <v>274.53130065554234</v>
      </c>
    </row>
    <row r="27" spans="2:12" x14ac:dyDescent="0.25">
      <c r="B27" t="s">
        <v>401</v>
      </c>
      <c r="C27" s="48">
        <f>C26-273.15</f>
        <v>1.3813006555423613</v>
      </c>
    </row>
    <row r="28" spans="2:12" x14ac:dyDescent="0.25">
      <c r="B28" t="s">
        <v>402</v>
      </c>
      <c r="C28" s="53">
        <f>CONVERT(C27,"C","F")</f>
        <v>34.48634117997625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32"/>
  <sheetViews>
    <sheetView topLeftCell="B1" workbookViewId="0">
      <selection activeCell="J27" sqref="J27"/>
    </sheetView>
  </sheetViews>
  <sheetFormatPr defaultRowHeight="15" x14ac:dyDescent="0.25"/>
  <cols>
    <col min="3" max="3" width="13.7109375" customWidth="1"/>
    <col min="4" max="4" width="10.5703125" customWidth="1"/>
    <col min="8" max="8" width="25.85546875" customWidth="1"/>
    <col min="12" max="12" width="21.140625" customWidth="1"/>
  </cols>
  <sheetData>
    <row r="1" spans="3:13" x14ac:dyDescent="0.25">
      <c r="C1" t="s">
        <v>273</v>
      </c>
      <c r="D1">
        <v>12</v>
      </c>
    </row>
    <row r="2" spans="3:13" x14ac:dyDescent="0.25">
      <c r="C2" t="s">
        <v>272</v>
      </c>
      <c r="D2" s="62">
        <v>4</v>
      </c>
    </row>
    <row r="3" spans="3:13" x14ac:dyDescent="0.25">
      <c r="C3" t="s">
        <v>259</v>
      </c>
      <c r="D3">
        <f>D2*100/D1</f>
        <v>33.333333333333336</v>
      </c>
      <c r="E3" t="s">
        <v>261</v>
      </c>
      <c r="H3" t="s">
        <v>255</v>
      </c>
      <c r="I3" t="s">
        <v>44</v>
      </c>
      <c r="J3" t="s">
        <v>257</v>
      </c>
      <c r="K3" t="s">
        <v>256</v>
      </c>
      <c r="L3" t="s">
        <v>263</v>
      </c>
      <c r="M3" t="s">
        <v>265</v>
      </c>
    </row>
    <row r="4" spans="3:13" x14ac:dyDescent="0.25">
      <c r="C4" t="s">
        <v>254</v>
      </c>
      <c r="D4">
        <v>5</v>
      </c>
      <c r="I4">
        <v>15</v>
      </c>
      <c r="J4" t="b">
        <f>ADC!I6=CONVERT(ADC!H6,"C","F")</f>
        <v>1</v>
      </c>
      <c r="K4">
        <v>15.651</v>
      </c>
      <c r="L4">
        <v>0</v>
      </c>
      <c r="M4" s="17">
        <v>0</v>
      </c>
    </row>
    <row r="5" spans="3:13" x14ac:dyDescent="0.25">
      <c r="C5" t="s">
        <v>260</v>
      </c>
      <c r="D5">
        <f>D4*D3/200</f>
        <v>0.83333333333333348</v>
      </c>
      <c r="I5">
        <v>20</v>
      </c>
      <c r="J5">
        <f t="shared" ref="J5:J11" si="0">CONVERT(I5,"C","F")</f>
        <v>68</v>
      </c>
      <c r="K5">
        <v>12.468</v>
      </c>
      <c r="L5">
        <v>0</v>
      </c>
      <c r="M5" s="17">
        <v>0</v>
      </c>
    </row>
    <row r="6" spans="3:13" x14ac:dyDescent="0.25">
      <c r="C6" t="s">
        <v>253</v>
      </c>
      <c r="D6" s="63">
        <v>10000</v>
      </c>
      <c r="H6" t="s">
        <v>258</v>
      </c>
      <c r="I6">
        <v>25</v>
      </c>
      <c r="J6">
        <f>CONVERT(I6,"C","F")</f>
        <v>77</v>
      </c>
      <c r="K6">
        <v>10</v>
      </c>
      <c r="L6" s="17">
        <f>D3</f>
        <v>33.333333333333336</v>
      </c>
      <c r="M6" s="17">
        <f t="shared" ref="M6:M8" si="1">5.8*I6-104</f>
        <v>41</v>
      </c>
    </row>
    <row r="7" spans="3:13" x14ac:dyDescent="0.25">
      <c r="C7" t="s">
        <v>252</v>
      </c>
      <c r="D7" s="64">
        <f>(D5*D6)/(D4-D5)</f>
        <v>2000.0000000000005</v>
      </c>
      <c r="I7">
        <v>30</v>
      </c>
      <c r="J7">
        <f t="shared" si="0"/>
        <v>86</v>
      </c>
      <c r="K7">
        <v>8.0719999999999992</v>
      </c>
      <c r="M7" s="17">
        <f t="shared" si="1"/>
        <v>70</v>
      </c>
    </row>
    <row r="8" spans="3:13" x14ac:dyDescent="0.25">
      <c r="H8" s="61">
        <v>1</v>
      </c>
      <c r="I8">
        <v>35</v>
      </c>
      <c r="J8">
        <f t="shared" si="0"/>
        <v>95</v>
      </c>
      <c r="K8">
        <v>6.556</v>
      </c>
      <c r="L8">
        <v>100</v>
      </c>
      <c r="M8" s="17">
        <f t="shared" si="1"/>
        <v>99</v>
      </c>
    </row>
    <row r="9" spans="3:13" x14ac:dyDescent="0.25">
      <c r="C9" t="s">
        <v>262</v>
      </c>
      <c r="D9">
        <v>30</v>
      </c>
      <c r="I9">
        <v>40</v>
      </c>
      <c r="J9">
        <f t="shared" si="0"/>
        <v>104</v>
      </c>
      <c r="K9">
        <v>5.3559999999999999</v>
      </c>
      <c r="M9" s="17">
        <v>100</v>
      </c>
    </row>
    <row r="10" spans="3:13" x14ac:dyDescent="0.25">
      <c r="C10" t="s">
        <v>266</v>
      </c>
      <c r="D10" s="16">
        <v>25000</v>
      </c>
      <c r="H10" s="61"/>
      <c r="I10">
        <v>45</v>
      </c>
      <c r="J10">
        <f t="shared" si="0"/>
        <v>113</v>
      </c>
      <c r="K10">
        <v>4.4009999999999998</v>
      </c>
      <c r="M10" s="17">
        <v>100</v>
      </c>
    </row>
    <row r="11" spans="3:13" x14ac:dyDescent="0.25">
      <c r="C11" t="s">
        <v>267</v>
      </c>
      <c r="D11">
        <f>50/I13</f>
        <v>3.3333333333333335</v>
      </c>
      <c r="I11">
        <v>50</v>
      </c>
      <c r="J11">
        <f t="shared" si="0"/>
        <v>122</v>
      </c>
      <c r="K11">
        <v>3.6349999999999998</v>
      </c>
      <c r="M11">
        <v>100</v>
      </c>
    </row>
    <row r="12" spans="3:13" x14ac:dyDescent="0.25">
      <c r="C12" t="s">
        <v>268</v>
      </c>
      <c r="D12" s="64">
        <f>D10/(D11-1)</f>
        <v>10714.285714285714</v>
      </c>
    </row>
    <row r="13" spans="3:13" x14ac:dyDescent="0.25">
      <c r="H13" t="s">
        <v>264</v>
      </c>
      <c r="I13">
        <f>I9-I6</f>
        <v>15</v>
      </c>
    </row>
    <row r="14" spans="3:13" x14ac:dyDescent="0.25">
      <c r="F14" t="s">
        <v>270</v>
      </c>
      <c r="G14" t="s">
        <v>271</v>
      </c>
    </row>
    <row r="15" spans="3:13" x14ac:dyDescent="0.25">
      <c r="C15" t="s">
        <v>269</v>
      </c>
      <c r="F15">
        <v>27.5</v>
      </c>
      <c r="G15">
        <v>35.5</v>
      </c>
    </row>
    <row r="17" spans="9:13" x14ac:dyDescent="0.25">
      <c r="I17">
        <v>15</v>
      </c>
      <c r="J17" s="17">
        <v>0</v>
      </c>
    </row>
    <row r="18" spans="9:13" x14ac:dyDescent="0.25">
      <c r="I18">
        <v>27</v>
      </c>
      <c r="J18" s="17">
        <v>0</v>
      </c>
    </row>
    <row r="19" spans="9:13" x14ac:dyDescent="0.25">
      <c r="I19">
        <v>27</v>
      </c>
      <c r="J19" s="17">
        <v>33</v>
      </c>
    </row>
    <row r="20" spans="9:13" x14ac:dyDescent="0.25">
      <c r="I20">
        <v>32</v>
      </c>
      <c r="J20" s="17">
        <v>100</v>
      </c>
    </row>
    <row r="21" spans="9:13" x14ac:dyDescent="0.25">
      <c r="I21">
        <v>35</v>
      </c>
      <c r="J21" s="17">
        <v>100</v>
      </c>
    </row>
    <row r="22" spans="9:13" x14ac:dyDescent="0.25">
      <c r="I22">
        <v>40</v>
      </c>
      <c r="J22" s="17">
        <v>100</v>
      </c>
    </row>
    <row r="23" spans="9:13" x14ac:dyDescent="0.25">
      <c r="I23">
        <v>50</v>
      </c>
      <c r="J23">
        <v>100</v>
      </c>
    </row>
    <row r="31" spans="9:13" x14ac:dyDescent="0.25">
      <c r="L31" t="s">
        <v>353</v>
      </c>
    </row>
    <row r="32" spans="9:13" x14ac:dyDescent="0.25">
      <c r="L32" t="s">
        <v>354</v>
      </c>
      <c r="M32">
        <v>3.3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3"/>
  <sheetViews>
    <sheetView tabSelected="1" topLeftCell="A7" workbookViewId="0">
      <selection activeCell="F44" sqref="F44"/>
    </sheetView>
  </sheetViews>
  <sheetFormatPr defaultRowHeight="15" x14ac:dyDescent="0.25"/>
  <cols>
    <col min="2" max="2" width="61.5703125" customWidth="1"/>
    <col min="4" max="5" width="16.140625" customWidth="1"/>
    <col min="6" max="6" width="16.28515625" customWidth="1"/>
    <col min="7" max="9" width="16" customWidth="1"/>
    <col min="10" max="11" width="16.85546875" customWidth="1"/>
    <col min="12" max="12" width="21.28515625" customWidth="1"/>
    <col min="13" max="13" width="29" bestFit="1" customWidth="1"/>
  </cols>
  <sheetData>
    <row r="2" spans="2:13" x14ac:dyDescent="0.25">
      <c r="D2" s="2" t="s">
        <v>230</v>
      </c>
      <c r="E2" s="2" t="s">
        <v>231</v>
      </c>
      <c r="F2" s="2" t="s">
        <v>220</v>
      </c>
      <c r="G2" s="2" t="s">
        <v>221</v>
      </c>
      <c r="H2" s="2" t="s">
        <v>237</v>
      </c>
      <c r="I2" s="2" t="s">
        <v>238</v>
      </c>
      <c r="J2" s="2" t="s">
        <v>359</v>
      </c>
      <c r="K2" s="118"/>
      <c r="L2" s="118" t="s">
        <v>451</v>
      </c>
    </row>
    <row r="3" spans="2:13" x14ac:dyDescent="0.25">
      <c r="B3" t="s">
        <v>222</v>
      </c>
      <c r="C3" s="55">
        <v>2.4999999999999999E-7</v>
      </c>
    </row>
    <row r="4" spans="2:13" x14ac:dyDescent="0.25">
      <c r="B4" t="s">
        <v>219</v>
      </c>
      <c r="D4" s="58">
        <v>300</v>
      </c>
      <c r="E4" s="58">
        <v>300</v>
      </c>
      <c r="F4" s="58">
        <v>52</v>
      </c>
      <c r="G4" s="58">
        <v>52</v>
      </c>
      <c r="H4" s="58">
        <v>52</v>
      </c>
      <c r="I4" s="58">
        <v>52</v>
      </c>
      <c r="J4" s="58">
        <v>52</v>
      </c>
      <c r="K4" s="58"/>
      <c r="L4" s="58">
        <v>360</v>
      </c>
    </row>
    <row r="5" spans="2:13" x14ac:dyDescent="0.25">
      <c r="B5" t="s">
        <v>229</v>
      </c>
      <c r="D5" s="84">
        <f>1000/2^14</f>
        <v>6.103515625E-2</v>
      </c>
      <c r="E5" s="60">
        <v>0.21199999999999999</v>
      </c>
      <c r="F5" s="59" t="s">
        <v>236</v>
      </c>
      <c r="G5" s="58">
        <v>0.5</v>
      </c>
      <c r="H5" s="58">
        <v>0.5</v>
      </c>
      <c r="I5" s="58">
        <v>0.1</v>
      </c>
      <c r="J5" s="58">
        <v>0.5</v>
      </c>
      <c r="K5" s="58"/>
      <c r="L5" s="60"/>
    </row>
    <row r="6" spans="2:13" x14ac:dyDescent="0.25">
      <c r="B6" t="s">
        <v>11</v>
      </c>
      <c r="D6" s="56">
        <v>61.035156299999997</v>
      </c>
      <c r="E6" s="56">
        <v>211.66666699999999</v>
      </c>
      <c r="F6" s="56" t="s">
        <v>236</v>
      </c>
      <c r="G6" s="56">
        <f t="shared" ref="G6" si="0">G5*1000</f>
        <v>500</v>
      </c>
      <c r="H6" s="56">
        <f>H5*1000</f>
        <v>500</v>
      </c>
      <c r="I6" s="56">
        <f>I5*1000</f>
        <v>100</v>
      </c>
      <c r="J6" s="56">
        <v>100</v>
      </c>
      <c r="K6" s="56"/>
      <c r="L6" s="56"/>
      <c r="M6" s="48"/>
    </row>
    <row r="7" spans="2:13" x14ac:dyDescent="0.25">
      <c r="B7" t="s">
        <v>365</v>
      </c>
      <c r="D7" s="57">
        <f t="shared" ref="D7:G7" si="1">D15/D5</f>
        <v>4993.8432000000003</v>
      </c>
      <c r="E7" s="57">
        <f t="shared" si="1"/>
        <v>1437.7358490566039</v>
      </c>
      <c r="F7" s="57"/>
      <c r="G7" s="57">
        <f t="shared" si="1"/>
        <v>2000</v>
      </c>
      <c r="H7" s="57">
        <f>H15/H5</f>
        <v>2000</v>
      </c>
      <c r="I7" s="57">
        <f t="shared" ref="I7:J7" si="2">I15/I5</f>
        <v>10000</v>
      </c>
      <c r="J7" s="57">
        <f t="shared" si="2"/>
        <v>2000</v>
      </c>
      <c r="K7" s="57"/>
      <c r="L7" s="57">
        <f>4*L4</f>
        <v>1440</v>
      </c>
      <c r="M7" s="48"/>
    </row>
    <row r="8" spans="2:13" x14ac:dyDescent="0.25">
      <c r="B8" t="s">
        <v>339</v>
      </c>
      <c r="D8" s="57">
        <f>(D20/D6)*1000000</f>
        <v>114299.99990636544</v>
      </c>
      <c r="E8" s="57">
        <f>(E20/E6)*1000000</f>
        <v>32958.984323096091</v>
      </c>
      <c r="F8" s="5"/>
      <c r="G8" s="57">
        <f>(G20/G6)*1000000</f>
        <v>1586.9140625</v>
      </c>
      <c r="H8" s="57">
        <f>(H20/H6)*1000000</f>
        <v>7934.5703125</v>
      </c>
      <c r="I8" s="57">
        <f>(I20/I6)*1000000</f>
        <v>39672.8515625</v>
      </c>
      <c r="J8" s="57">
        <f>(J20/J6)*1000000</f>
        <v>7934.5703125</v>
      </c>
      <c r="K8" s="57"/>
      <c r="L8" s="57"/>
      <c r="M8" s="48"/>
    </row>
    <row r="9" spans="2:13" x14ac:dyDescent="0.25">
      <c r="B9" t="s">
        <v>239</v>
      </c>
      <c r="D9" s="54">
        <f t="shared" ref="D9:I9" si="3">(D4*2^-18)/Tick_ns</f>
        <v>4577.63671875</v>
      </c>
      <c r="E9" s="54">
        <f t="shared" si="3"/>
        <v>4577.63671875</v>
      </c>
      <c r="F9" s="54">
        <f t="shared" si="3"/>
        <v>793.45703125</v>
      </c>
      <c r="G9" s="54">
        <f t="shared" si="3"/>
        <v>793.45703125</v>
      </c>
      <c r="H9" s="54">
        <f t="shared" si="3"/>
        <v>793.45703125</v>
      </c>
      <c r="I9" s="54">
        <f t="shared" si="3"/>
        <v>793.45703125</v>
      </c>
      <c r="J9" s="54">
        <f t="shared" ref="J9" si="4">(J4*2^-18)/Tick_ns</f>
        <v>793.45703125</v>
      </c>
      <c r="K9" s="54"/>
      <c r="L9" s="54"/>
      <c r="M9" s="48"/>
    </row>
    <row r="10" spans="2:13" x14ac:dyDescent="0.25">
      <c r="B10" t="s">
        <v>75</v>
      </c>
      <c r="D10" s="57"/>
      <c r="E10" s="57"/>
      <c r="F10" s="5"/>
      <c r="G10" s="57"/>
      <c r="H10" s="57">
        <v>52</v>
      </c>
      <c r="I10" s="57"/>
      <c r="J10" s="57"/>
      <c r="K10" s="57"/>
      <c r="L10" s="57"/>
      <c r="M10" s="57"/>
    </row>
    <row r="11" spans="2:13" x14ac:dyDescent="0.25">
      <c r="B11" t="s">
        <v>340</v>
      </c>
      <c r="H11" s="17">
        <f>(H10*2^-18)/Tick_ns</f>
        <v>793.45703125</v>
      </c>
      <c r="I11" s="17"/>
    </row>
    <row r="12" spans="2:13" x14ac:dyDescent="0.25">
      <c r="B12" t="s">
        <v>240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L12">
        <v>200</v>
      </c>
    </row>
    <row r="13" spans="2:13" x14ac:dyDescent="0.25">
      <c r="B13" t="s">
        <v>241</v>
      </c>
      <c r="D13" s="58">
        <v>64</v>
      </c>
      <c r="E13" s="58">
        <v>64</v>
      </c>
      <c r="F13" s="58">
        <v>128</v>
      </c>
      <c r="G13" s="58">
        <v>128</v>
      </c>
      <c r="H13" s="58">
        <v>128</v>
      </c>
      <c r="I13" s="58">
        <v>128</v>
      </c>
      <c r="J13" s="58">
        <v>32</v>
      </c>
      <c r="K13" s="58"/>
      <c r="L13" s="58">
        <v>128</v>
      </c>
      <c r="M13" s="16"/>
    </row>
    <row r="14" spans="2:13" x14ac:dyDescent="0.25">
      <c r="B14" t="s">
        <v>242</v>
      </c>
      <c r="D14" s="16">
        <f>D13*D12</f>
        <v>12800</v>
      </c>
      <c r="E14" s="16">
        <f>E13*E12</f>
        <v>12800</v>
      </c>
      <c r="F14" s="16">
        <f>F13*F12</f>
        <v>25600</v>
      </c>
      <c r="G14" s="16">
        <f>G13*G12</f>
        <v>25600</v>
      </c>
      <c r="H14" s="16">
        <f t="shared" ref="H14" si="5">H13*H12</f>
        <v>25600</v>
      </c>
      <c r="I14" s="16">
        <f>I13*I12</f>
        <v>25600</v>
      </c>
      <c r="J14" s="16">
        <f>J13*J12</f>
        <v>6400</v>
      </c>
      <c r="K14" s="16"/>
      <c r="L14" s="16">
        <f>L13*L12</f>
        <v>25600</v>
      </c>
    </row>
    <row r="15" spans="2:13" x14ac:dyDescent="0.25">
      <c r="B15" t="s">
        <v>223</v>
      </c>
      <c r="D15" s="58">
        <v>304.8</v>
      </c>
      <c r="E15" s="58">
        <v>304.8</v>
      </c>
      <c r="F15" s="58">
        <v>1000</v>
      </c>
      <c r="G15" s="58">
        <v>1000</v>
      </c>
      <c r="H15" s="58">
        <v>1000</v>
      </c>
      <c r="I15" s="58">
        <v>1000</v>
      </c>
      <c r="J15" s="58">
        <v>1000</v>
      </c>
      <c r="K15" s="58"/>
      <c r="L15" s="58"/>
    </row>
    <row r="16" spans="2:13" x14ac:dyDescent="0.25">
      <c r="B16" t="s">
        <v>227</v>
      </c>
      <c r="D16" s="58">
        <v>1</v>
      </c>
      <c r="E16" s="58">
        <v>1</v>
      </c>
      <c r="F16" s="58">
        <v>1</v>
      </c>
      <c r="G16" s="58">
        <v>5</v>
      </c>
      <c r="H16" s="58">
        <v>1</v>
      </c>
      <c r="I16" s="58">
        <v>1</v>
      </c>
      <c r="J16" s="58">
        <v>5</v>
      </c>
      <c r="K16" s="58"/>
      <c r="L16" s="58"/>
    </row>
    <row r="17" spans="2:13" x14ac:dyDescent="0.25">
      <c r="B17" t="s">
        <v>224</v>
      </c>
      <c r="D17" s="56">
        <f>(D15/D14)/D16</f>
        <v>2.38125E-2</v>
      </c>
      <c r="E17" s="56">
        <f t="shared" ref="E17:I17" si="6">(E15/E14)/E16</f>
        <v>2.38125E-2</v>
      </c>
      <c r="F17" s="56">
        <f t="shared" si="6"/>
        <v>3.90625E-2</v>
      </c>
      <c r="G17" s="56">
        <f t="shared" si="6"/>
        <v>7.8125E-3</v>
      </c>
      <c r="H17" s="56">
        <f t="shared" si="6"/>
        <v>3.90625E-2</v>
      </c>
      <c r="I17" s="56">
        <f t="shared" si="6"/>
        <v>3.90625E-2</v>
      </c>
      <c r="J17" s="56">
        <f t="shared" ref="J17" si="7">(J15/J14)/J16</f>
        <v>3.125E-2</v>
      </c>
      <c r="K17" s="56"/>
      <c r="L17" s="56"/>
    </row>
    <row r="18" spans="2:13" x14ac:dyDescent="0.25">
      <c r="B18" t="s">
        <v>244</v>
      </c>
      <c r="D18" s="48">
        <f t="shared" ref="D18:G18" si="8">D17*1000</f>
        <v>23.8125</v>
      </c>
      <c r="E18" s="48">
        <f t="shared" si="8"/>
        <v>23.8125</v>
      </c>
      <c r="F18" s="48">
        <f t="shared" si="8"/>
        <v>39.0625</v>
      </c>
      <c r="G18" s="48">
        <f t="shared" si="8"/>
        <v>7.8125</v>
      </c>
      <c r="H18" s="48">
        <f>H17*1000</f>
        <v>39.0625</v>
      </c>
      <c r="I18" s="48">
        <f>I17*1000</f>
        <v>39.0625</v>
      </c>
      <c r="J18" s="48">
        <f t="shared" ref="J18" si="9">J17*1000</f>
        <v>31.25</v>
      </c>
      <c r="K18" s="48"/>
      <c r="L18" s="48"/>
    </row>
    <row r="19" spans="2:13" x14ac:dyDescent="0.25">
      <c r="B19" t="s">
        <v>226</v>
      </c>
      <c r="D19" s="48">
        <f t="shared" ref="D19:I19" si="10">D17*D9*D13</f>
        <v>6976.318359375</v>
      </c>
      <c r="E19" s="48">
        <f t="shared" si="10"/>
        <v>6976.318359375</v>
      </c>
      <c r="F19" s="48">
        <f t="shared" si="10"/>
        <v>3967.28515625</v>
      </c>
      <c r="G19" s="48">
        <f t="shared" si="10"/>
        <v>793.45703125</v>
      </c>
      <c r="H19" s="48">
        <f t="shared" si="10"/>
        <v>3967.28515625</v>
      </c>
      <c r="I19" s="48">
        <f t="shared" si="10"/>
        <v>3967.28515625</v>
      </c>
      <c r="J19" s="48">
        <f t="shared" ref="J19" si="11">J17*J9*J13</f>
        <v>793.45703125</v>
      </c>
      <c r="K19" s="48"/>
      <c r="L19" s="48"/>
    </row>
    <row r="20" spans="2:13" x14ac:dyDescent="0.25">
      <c r="B20" t="s">
        <v>225</v>
      </c>
      <c r="D20" s="48">
        <f>D19/1000</f>
        <v>6.976318359375</v>
      </c>
      <c r="E20" s="48">
        <f>E19/1000</f>
        <v>6.976318359375</v>
      </c>
      <c r="F20" s="48">
        <f>F19/1000</f>
        <v>3.96728515625</v>
      </c>
      <c r="G20" s="48">
        <f>G19/1000</f>
        <v>0.79345703125</v>
      </c>
      <c r="H20" s="48">
        <f t="shared" ref="H20:I20" si="12">H19/1000</f>
        <v>3.96728515625</v>
      </c>
      <c r="I20" s="48">
        <f t="shared" si="12"/>
        <v>3.96728515625</v>
      </c>
      <c r="J20" s="48">
        <f>J19/1000</f>
        <v>0.79345703125</v>
      </c>
      <c r="K20" s="48"/>
      <c r="L20" s="48"/>
    </row>
    <row r="21" spans="2:13" x14ac:dyDescent="0.25">
      <c r="B21" t="s">
        <v>228</v>
      </c>
      <c r="D21" s="48">
        <f>D20*0.05</f>
        <v>0.34881591796875</v>
      </c>
      <c r="E21" s="48">
        <f>E20*0.05</f>
        <v>0.34881591796875</v>
      </c>
      <c r="F21" s="48">
        <f>F20*0.05</f>
        <v>0.1983642578125</v>
      </c>
      <c r="G21" s="48">
        <f>G20*0.05</f>
        <v>3.96728515625E-2</v>
      </c>
      <c r="H21" s="48">
        <f t="shared" ref="H21:I21" si="13">H20*0.05</f>
        <v>0.1983642578125</v>
      </c>
      <c r="I21" s="48">
        <f t="shared" si="13"/>
        <v>0.1983642578125</v>
      </c>
      <c r="J21" s="48">
        <f>J20*0.05</f>
        <v>3.96728515625E-2</v>
      </c>
      <c r="K21" s="48"/>
      <c r="L21" s="48"/>
    </row>
    <row r="22" spans="2:13" x14ac:dyDescent="0.25">
      <c r="B22" t="s">
        <v>232</v>
      </c>
      <c r="D22">
        <f>2*D5</f>
        <v>0.1220703125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2:13" x14ac:dyDescent="0.25">
      <c r="B23" t="s">
        <v>233</v>
      </c>
      <c r="D23" s="56">
        <f>D17</f>
        <v>2.38125E-2</v>
      </c>
      <c r="E23" s="56">
        <f>E17</f>
        <v>2.38125E-2</v>
      </c>
      <c r="F23" s="56">
        <f>F17</f>
        <v>3.90625E-2</v>
      </c>
      <c r="G23" s="56">
        <f>G17</f>
        <v>7.8125E-3</v>
      </c>
      <c r="H23" s="56">
        <f t="shared" ref="H23:I23" si="14">H17</f>
        <v>3.90625E-2</v>
      </c>
      <c r="I23" s="56">
        <f t="shared" si="14"/>
        <v>3.90625E-2</v>
      </c>
      <c r="J23" s="56">
        <f>J17</f>
        <v>3.125E-2</v>
      </c>
      <c r="K23" s="56"/>
      <c r="L23" s="56"/>
    </row>
    <row r="24" spans="2:13" x14ac:dyDescent="0.25">
      <c r="B24" t="s">
        <v>243</v>
      </c>
      <c r="D24">
        <f>D5*2</f>
        <v>0.1220703125</v>
      </c>
      <c r="E24">
        <f>E5*2</f>
        <v>0.42399999999999999</v>
      </c>
      <c r="F24" s="2" t="s">
        <v>236</v>
      </c>
      <c r="G24">
        <f>G5*2</f>
        <v>1</v>
      </c>
      <c r="H24">
        <f>H5*2</f>
        <v>1</v>
      </c>
      <c r="I24">
        <f>I5*2</f>
        <v>0.2</v>
      </c>
      <c r="J24">
        <f>J5*2</f>
        <v>1</v>
      </c>
    </row>
    <row r="25" spans="2:13" x14ac:dyDescent="0.25">
      <c r="B25" t="s">
        <v>234</v>
      </c>
      <c r="D25" t="s">
        <v>235</v>
      </c>
      <c r="E25" t="s">
        <v>235</v>
      </c>
      <c r="F25" t="s">
        <v>235</v>
      </c>
      <c r="G25">
        <f>G5</f>
        <v>0.5</v>
      </c>
      <c r="H25">
        <f>H5</f>
        <v>0.5</v>
      </c>
      <c r="I25">
        <f>I5</f>
        <v>0.1</v>
      </c>
      <c r="J25">
        <f>J5</f>
        <v>0.5</v>
      </c>
    </row>
    <row r="27" spans="2:13" x14ac:dyDescent="0.25">
      <c r="B27" t="s">
        <v>405</v>
      </c>
      <c r="D27" s="57">
        <f>100000*D6/D18</f>
        <v>256315.61700787401</v>
      </c>
      <c r="E27" s="57">
        <f>100000*E6/E18</f>
        <v>888888.89028871385</v>
      </c>
      <c r="F27" s="57"/>
      <c r="G27" s="57">
        <f>100000*G6/G18</f>
        <v>6400000</v>
      </c>
      <c r="H27" s="57">
        <f>100000*H6/H18</f>
        <v>1280000</v>
      </c>
      <c r="I27" s="57">
        <f>100000*I6/I18</f>
        <v>256000</v>
      </c>
      <c r="J27" s="57">
        <f>100000*J6/J18</f>
        <v>320000</v>
      </c>
      <c r="K27" s="57"/>
      <c r="L27" s="57">
        <f>100000*L14/L7</f>
        <v>1777777.7777777778</v>
      </c>
    </row>
    <row r="28" spans="2:13" x14ac:dyDescent="0.25">
      <c r="B28" t="s">
        <v>406</v>
      </c>
      <c r="D28" s="65">
        <f t="shared" ref="D28:I28" si="15">D6</f>
        <v>61.035156299999997</v>
      </c>
      <c r="E28" s="66">
        <f t="shared" si="15"/>
        <v>211.66666699999999</v>
      </c>
      <c r="F28" s="57" t="str">
        <f t="shared" si="15"/>
        <v>NA</v>
      </c>
      <c r="G28" s="57">
        <f t="shared" si="15"/>
        <v>500</v>
      </c>
      <c r="H28" s="57">
        <f t="shared" si="15"/>
        <v>500</v>
      </c>
      <c r="I28" s="57">
        <f t="shared" si="15"/>
        <v>100</v>
      </c>
      <c r="J28" s="57">
        <f t="shared" ref="J28" si="16">J6</f>
        <v>100</v>
      </c>
      <c r="K28" s="57"/>
      <c r="L28" s="57">
        <v>1</v>
      </c>
    </row>
    <row r="29" spans="2:13" x14ac:dyDescent="0.25">
      <c r="B29" t="s">
        <v>407</v>
      </c>
      <c r="D29" s="67">
        <f t="shared" ref="D29:J29" si="17">D18</f>
        <v>23.8125</v>
      </c>
      <c r="E29" s="67">
        <f t="shared" si="17"/>
        <v>23.8125</v>
      </c>
      <c r="F29" s="67">
        <f t="shared" si="17"/>
        <v>39.0625</v>
      </c>
      <c r="G29" s="67">
        <f t="shared" si="17"/>
        <v>7.8125</v>
      </c>
      <c r="H29" s="67">
        <f t="shared" si="17"/>
        <v>39.0625</v>
      </c>
      <c r="I29" s="67">
        <f t="shared" si="17"/>
        <v>39.0625</v>
      </c>
      <c r="J29" s="67">
        <f t="shared" si="17"/>
        <v>31.25</v>
      </c>
      <c r="K29" s="67"/>
      <c r="L29" s="67">
        <f>L14/L7</f>
        <v>17.777777777777779</v>
      </c>
      <c r="M29" s="48">
        <f>L29*30</f>
        <v>533.33333333333337</v>
      </c>
    </row>
    <row r="30" spans="2:13" x14ac:dyDescent="0.25">
      <c r="B30" t="s">
        <v>367</v>
      </c>
      <c r="D30" s="58">
        <v>2000</v>
      </c>
      <c r="E30" s="58">
        <v>200</v>
      </c>
      <c r="F30" s="58"/>
      <c r="G30" s="58">
        <v>15000</v>
      </c>
      <c r="H30" s="58">
        <v>100</v>
      </c>
      <c r="I30" s="58">
        <v>1</v>
      </c>
      <c r="J30" s="58">
        <v>1</v>
      </c>
      <c r="K30" s="58"/>
      <c r="L30" s="58"/>
    </row>
    <row r="31" spans="2:13" x14ac:dyDescent="0.25">
      <c r="B31" t="s">
        <v>246</v>
      </c>
      <c r="D31" s="57">
        <f>(D32*D27)/100000</f>
        <v>83989.501312335953</v>
      </c>
      <c r="E31" s="66">
        <f t="shared" ref="E31:G31" si="18">(E30*E27)/1000000</f>
        <v>177.77777805774278</v>
      </c>
      <c r="F31" s="57">
        <f t="shared" si="18"/>
        <v>0</v>
      </c>
      <c r="G31" s="56">
        <f t="shared" si="18"/>
        <v>96000</v>
      </c>
      <c r="H31" s="57">
        <f>(H30*H27)/1000000</f>
        <v>128</v>
      </c>
      <c r="I31" s="57">
        <f>(I30*I27)/1000000</f>
        <v>0.25600000000000001</v>
      </c>
      <c r="J31" s="56">
        <f t="shared" ref="J31" si="19">(J30*J27)/1000000</f>
        <v>0.32</v>
      </c>
      <c r="K31" s="56"/>
      <c r="L31" s="66"/>
    </row>
    <row r="32" spans="2:13" x14ac:dyDescent="0.25">
      <c r="B32" s="85" t="s">
        <v>247</v>
      </c>
      <c r="C32" s="85"/>
      <c r="D32" s="87">
        <f>1000*D30/D28</f>
        <v>32767.999973156457</v>
      </c>
      <c r="E32" s="87">
        <f>E30/E5</f>
        <v>943.39622641509436</v>
      </c>
      <c r="F32" s="86" t="s">
        <v>236</v>
      </c>
      <c r="G32" s="87">
        <f>G30/G5</f>
        <v>30000</v>
      </c>
      <c r="H32" s="87">
        <f>1000*H30/H28</f>
        <v>200</v>
      </c>
      <c r="I32" s="87">
        <f>I30/I5</f>
        <v>10</v>
      </c>
      <c r="J32" s="87">
        <f>J30/J5</f>
        <v>2</v>
      </c>
      <c r="K32" s="87"/>
      <c r="L32" s="87"/>
    </row>
    <row r="35" spans="3:9" x14ac:dyDescent="0.25">
      <c r="D35" s="48">
        <f>D30/D5</f>
        <v>32768</v>
      </c>
    </row>
    <row r="37" spans="3:9" x14ac:dyDescent="0.25">
      <c r="G37">
        <v>-32095</v>
      </c>
    </row>
    <row r="38" spans="3:9" x14ac:dyDescent="0.25">
      <c r="G38">
        <v>-2128</v>
      </c>
      <c r="H38">
        <v>17.77777</v>
      </c>
      <c r="I38" s="17">
        <f>G38*H38</f>
        <v>-37831.094559999998</v>
      </c>
    </row>
    <row r="39" spans="3:9" x14ac:dyDescent="0.25">
      <c r="C39" t="s">
        <v>452</v>
      </c>
      <c r="D39" t="s">
        <v>75</v>
      </c>
    </row>
    <row r="40" spans="3:9" x14ac:dyDescent="0.25">
      <c r="C40" s="62">
        <v>500</v>
      </c>
      <c r="D40" s="129">
        <f>(C40*Tick_ns)/2^-18</f>
        <v>32.768000000000001</v>
      </c>
    </row>
    <row r="41" spans="3:9" x14ac:dyDescent="0.25">
      <c r="C41" s="131"/>
    </row>
    <row r="42" spans="3:9" x14ac:dyDescent="0.25">
      <c r="C42" t="s">
        <v>452</v>
      </c>
      <c r="D42" t="s">
        <v>453</v>
      </c>
    </row>
    <row r="43" spans="3:9" x14ac:dyDescent="0.25">
      <c r="C43" s="130">
        <f>C40</f>
        <v>500</v>
      </c>
      <c r="D43" s="127">
        <f>(C43*Tick_ns)/2^-28</f>
        <v>33554.432000000001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32"/>
  <sheetViews>
    <sheetView topLeftCell="B1" workbookViewId="0">
      <selection activeCell="D19" sqref="D19"/>
    </sheetView>
  </sheetViews>
  <sheetFormatPr defaultRowHeight="15" x14ac:dyDescent="0.25"/>
  <cols>
    <col min="1" max="1" width="9.140625" style="112"/>
    <col min="2" max="2" width="22.7109375" style="112" customWidth="1"/>
    <col min="3" max="5" width="17.85546875" style="112" customWidth="1"/>
    <col min="6" max="6" width="17.5703125" style="112" customWidth="1"/>
    <col min="7" max="16384" width="9.140625" style="112"/>
  </cols>
  <sheetData>
    <row r="4" spans="2:7" x14ac:dyDescent="0.25">
      <c r="B4" s="112" t="s">
        <v>411</v>
      </c>
      <c r="C4" s="112" t="s">
        <v>408</v>
      </c>
      <c r="D4" s="112" t="s">
        <v>409</v>
      </c>
      <c r="E4" s="112" t="s">
        <v>410</v>
      </c>
    </row>
    <row r="5" spans="2:7" x14ac:dyDescent="0.25">
      <c r="B5" s="112" t="s">
        <v>425</v>
      </c>
      <c r="C5" s="115">
        <v>1280000</v>
      </c>
      <c r="D5" s="115">
        <v>1280000</v>
      </c>
      <c r="E5" s="115">
        <v>256000</v>
      </c>
    </row>
    <row r="6" spans="2:7" x14ac:dyDescent="0.25">
      <c r="B6" s="112" t="s">
        <v>421</v>
      </c>
      <c r="C6" s="117">
        <v>0</v>
      </c>
      <c r="D6" s="117">
        <v>0</v>
      </c>
      <c r="E6" s="117">
        <v>0</v>
      </c>
    </row>
    <row r="7" spans="2:7" x14ac:dyDescent="0.25">
      <c r="B7" s="112" t="s">
        <v>422</v>
      </c>
      <c r="C7" s="117">
        <v>1000</v>
      </c>
      <c r="D7" s="117">
        <v>1000</v>
      </c>
      <c r="E7" s="117">
        <v>1000</v>
      </c>
    </row>
    <row r="8" spans="2:7" x14ac:dyDescent="0.25">
      <c r="B8" s="112" t="s">
        <v>420</v>
      </c>
      <c r="D8" s="112">
        <f>C5/D5</f>
        <v>1</v>
      </c>
    </row>
    <row r="9" spans="2:7" x14ac:dyDescent="0.25">
      <c r="B9" s="112" t="s">
        <v>419</v>
      </c>
      <c r="E9" s="112">
        <f>C5/E5</f>
        <v>5</v>
      </c>
    </row>
    <row r="11" spans="2:7" x14ac:dyDescent="0.25">
      <c r="B11" s="112" t="s">
        <v>423</v>
      </c>
      <c r="C11" s="112">
        <f>C6</f>
        <v>0</v>
      </c>
      <c r="D11" s="112">
        <f>D6/D8</f>
        <v>0</v>
      </c>
      <c r="E11" s="112">
        <f>E6/E9</f>
        <v>0</v>
      </c>
      <c r="F11" s="112" t="s">
        <v>429</v>
      </c>
      <c r="G11" s="112">
        <f>C5/E5</f>
        <v>5</v>
      </c>
    </row>
    <row r="12" spans="2:7" x14ac:dyDescent="0.25">
      <c r="B12" s="112" t="s">
        <v>424</v>
      </c>
      <c r="C12" s="112">
        <f>C7</f>
        <v>1000</v>
      </c>
      <c r="D12" s="112">
        <f>D7/D8</f>
        <v>1000</v>
      </c>
      <c r="E12" s="112">
        <f>E7/E9</f>
        <v>200</v>
      </c>
      <c r="F12" s="45"/>
    </row>
    <row r="13" spans="2:7" x14ac:dyDescent="0.25">
      <c r="B13" s="112" t="s">
        <v>427</v>
      </c>
      <c r="C13" s="113">
        <f>(C12-C11)/(D12-D11)</f>
        <v>1</v>
      </c>
      <c r="F13" s="45"/>
    </row>
    <row r="14" spans="2:7" x14ac:dyDescent="0.25">
      <c r="B14" s="112" t="s">
        <v>428</v>
      </c>
      <c r="C14" s="113">
        <f>C11-(C13*D11)</f>
        <v>0</v>
      </c>
      <c r="F14" s="45"/>
    </row>
    <row r="15" spans="2:7" x14ac:dyDescent="0.25">
      <c r="B15" s="112" t="s">
        <v>412</v>
      </c>
      <c r="C15" s="113">
        <f>(D12-D11)/(C12-C11)</f>
        <v>1</v>
      </c>
    </row>
    <row r="16" spans="2:7" x14ac:dyDescent="0.25">
      <c r="B16" s="112" t="s">
        <v>413</v>
      </c>
      <c r="C16" s="112">
        <f>D11-(C15*C11)</f>
        <v>0</v>
      </c>
    </row>
    <row r="17" spans="2:6" x14ac:dyDescent="0.25">
      <c r="B17" s="112" t="s">
        <v>416</v>
      </c>
      <c r="C17" s="113">
        <f>(E12-E11)/(C12-C11)</f>
        <v>0.2</v>
      </c>
    </row>
    <row r="18" spans="2:6" x14ac:dyDescent="0.25">
      <c r="B18" s="112" t="s">
        <v>417</v>
      </c>
      <c r="C18" s="112">
        <f>E11-C17*C11</f>
        <v>0</v>
      </c>
    </row>
    <row r="20" spans="2:6" x14ac:dyDescent="0.25">
      <c r="B20" s="112" t="s">
        <v>414</v>
      </c>
      <c r="C20" s="115">
        <v>4000</v>
      </c>
      <c r="F20" s="110">
        <v>20000</v>
      </c>
    </row>
    <row r="21" spans="2:6" x14ac:dyDescent="0.25">
      <c r="B21" s="112" t="s">
        <v>415</v>
      </c>
      <c r="C21" s="116">
        <f>(C15*C20)+C16</f>
        <v>4000</v>
      </c>
      <c r="F21" s="114">
        <f>((F15*F20)+F16)/10000</f>
        <v>0</v>
      </c>
    </row>
    <row r="22" spans="2:6" x14ac:dyDescent="0.25">
      <c r="B22" s="112" t="s">
        <v>418</v>
      </c>
      <c r="C22" s="114">
        <f>C17*C20+C18</f>
        <v>800</v>
      </c>
      <c r="F22" s="114">
        <f>(F17*F20+F18)/10000</f>
        <v>0</v>
      </c>
    </row>
    <row r="30" spans="2:6" x14ac:dyDescent="0.25">
      <c r="D30" s="112" t="s">
        <v>207</v>
      </c>
      <c r="E30" s="112" t="s">
        <v>426</v>
      </c>
    </row>
    <row r="31" spans="2:6" x14ac:dyDescent="0.25">
      <c r="D31" s="112">
        <v>0</v>
      </c>
      <c r="E31" s="112">
        <v>0</v>
      </c>
    </row>
    <row r="32" spans="2:6" x14ac:dyDescent="0.25">
      <c r="D32" s="112">
        <v>50</v>
      </c>
      <c r="E32" s="112">
        <v>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1"/>
  <sheetViews>
    <sheetView workbookViewId="0">
      <selection activeCell="E15" sqref="E15"/>
    </sheetView>
  </sheetViews>
  <sheetFormatPr defaultRowHeight="15" x14ac:dyDescent="0.25"/>
  <cols>
    <col min="3" max="3" width="69.85546875" customWidth="1"/>
    <col min="4" max="4" width="16.7109375" customWidth="1"/>
    <col min="5" max="5" width="28.28515625" customWidth="1"/>
    <col min="6" max="6" width="14" customWidth="1"/>
    <col min="7" max="7" width="29.5703125" customWidth="1"/>
  </cols>
  <sheetData>
    <row r="2" spans="3:8" ht="15.75" thickBot="1" x14ac:dyDescent="0.3"/>
    <row r="3" spans="3:8" x14ac:dyDescent="0.25">
      <c r="C3" s="120" t="s">
        <v>446</v>
      </c>
      <c r="E3" s="46" t="s">
        <v>447</v>
      </c>
    </row>
    <row r="4" spans="3:8" x14ac:dyDescent="0.25">
      <c r="C4" s="121" t="s">
        <v>442</v>
      </c>
    </row>
    <row r="5" spans="3:8" x14ac:dyDescent="0.25">
      <c r="C5" s="122" t="s">
        <v>430</v>
      </c>
      <c r="E5" s="125" t="s">
        <v>448</v>
      </c>
      <c r="F5" s="62">
        <v>512</v>
      </c>
    </row>
    <row r="6" spans="3:8" x14ac:dyDescent="0.25">
      <c r="C6" s="121" t="s">
        <v>431</v>
      </c>
      <c r="E6" s="125" t="s">
        <v>449</v>
      </c>
      <c r="F6" s="62">
        <v>512</v>
      </c>
    </row>
    <row r="7" spans="3:8" x14ac:dyDescent="0.25">
      <c r="C7" s="121" t="s">
        <v>432</v>
      </c>
    </row>
    <row r="8" spans="3:8" x14ac:dyDescent="0.25">
      <c r="C8" s="121" t="s">
        <v>433</v>
      </c>
    </row>
    <row r="9" spans="3:8" x14ac:dyDescent="0.25">
      <c r="C9" s="123" t="s">
        <v>434</v>
      </c>
    </row>
    <row r="10" spans="3:8" x14ac:dyDescent="0.25">
      <c r="C10" s="121" t="s">
        <v>435</v>
      </c>
    </row>
    <row r="11" spans="3:8" x14ac:dyDescent="0.25">
      <c r="C11" s="121" t="s">
        <v>436</v>
      </c>
    </row>
    <row r="12" spans="3:8" x14ac:dyDescent="0.25">
      <c r="C12" s="123" t="s">
        <v>437</v>
      </c>
    </row>
    <row r="13" spans="3:8" x14ac:dyDescent="0.25">
      <c r="C13" s="121" t="s">
        <v>438</v>
      </c>
    </row>
    <row r="14" spans="3:8" x14ac:dyDescent="0.25">
      <c r="C14" s="121" t="s">
        <v>439</v>
      </c>
    </row>
    <row r="15" spans="3:8" x14ac:dyDescent="0.25">
      <c r="C15" s="121" t="s">
        <v>440</v>
      </c>
      <c r="E15" s="119"/>
      <c r="H15" s="51"/>
    </row>
    <row r="16" spans="3:8" x14ac:dyDescent="0.25">
      <c r="C16" s="121" t="s">
        <v>441</v>
      </c>
      <c r="E16" s="119"/>
    </row>
    <row r="17" spans="3:5" x14ac:dyDescent="0.25">
      <c r="C17" s="121"/>
      <c r="E17" s="53"/>
    </row>
    <row r="18" spans="3:5" x14ac:dyDescent="0.25">
      <c r="C18" s="97"/>
    </row>
    <row r="19" spans="3:5" x14ac:dyDescent="0.25">
      <c r="C19" s="123" t="s">
        <v>443</v>
      </c>
    </row>
    <row r="20" spans="3:5" x14ac:dyDescent="0.25">
      <c r="C20" s="121" t="s">
        <v>444</v>
      </c>
    </row>
    <row r="21" spans="3:5" ht="15.75" thickBot="1" x14ac:dyDescent="0.3">
      <c r="C21" s="124" t="s">
        <v>445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workbookViewId="0">
      <selection activeCell="F23" sqref="F23"/>
    </sheetView>
  </sheetViews>
  <sheetFormatPr defaultRowHeight="15" x14ac:dyDescent="0.25"/>
  <cols>
    <col min="2" max="2" width="54.42578125" customWidth="1"/>
    <col min="3" max="3" width="19.7109375" customWidth="1"/>
  </cols>
  <sheetData>
    <row r="3" spans="2:4" x14ac:dyDescent="0.25">
      <c r="B3" s="1" t="s">
        <v>298</v>
      </c>
      <c r="C3" s="1" t="s">
        <v>291</v>
      </c>
    </row>
    <row r="4" spans="2:4" x14ac:dyDescent="0.25">
      <c r="B4" t="s">
        <v>290</v>
      </c>
      <c r="C4" s="2">
        <v>1.5748</v>
      </c>
    </row>
    <row r="5" spans="2:4" x14ac:dyDescent="0.25">
      <c r="B5" t="s">
        <v>292</v>
      </c>
      <c r="C5" s="2"/>
    </row>
    <row r="6" spans="2:4" x14ac:dyDescent="0.25">
      <c r="B6" t="s">
        <v>293</v>
      </c>
      <c r="C6" s="2">
        <v>0.127</v>
      </c>
    </row>
    <row r="7" spans="2:4" x14ac:dyDescent="0.25">
      <c r="B7" t="s">
        <v>294</v>
      </c>
      <c r="C7" s="2">
        <v>0.20319999999999999</v>
      </c>
    </row>
    <row r="8" spans="2:4" x14ac:dyDescent="0.25">
      <c r="B8" t="s">
        <v>295</v>
      </c>
      <c r="C8" s="2">
        <v>0.15240000000000001</v>
      </c>
      <c r="D8">
        <v>0.50800000000000001</v>
      </c>
    </row>
    <row r="9" spans="2:4" x14ac:dyDescent="0.25">
      <c r="B9" t="s">
        <v>296</v>
      </c>
      <c r="C9" s="2">
        <v>0.81279999999999997</v>
      </c>
    </row>
    <row r="10" spans="2:4" x14ac:dyDescent="0.25">
      <c r="B10" t="s">
        <v>297</v>
      </c>
      <c r="C10" s="2" t="s">
        <v>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K14" sqref="K14"/>
    </sheetView>
  </sheetViews>
  <sheetFormatPr defaultRowHeight="15" x14ac:dyDescent="0.25"/>
  <cols>
    <col min="1" max="1" width="15.140625" customWidth="1"/>
    <col min="3" max="3" width="55.85546875" customWidth="1"/>
    <col min="4" max="5" width="13.85546875" customWidth="1"/>
    <col min="6" max="6" width="15.7109375" customWidth="1"/>
    <col min="7" max="7" width="19.42578125" customWidth="1"/>
    <col min="8" max="8" width="17.7109375" customWidth="1"/>
    <col min="9" max="9" width="13.85546875" customWidth="1"/>
  </cols>
  <sheetData>
    <row r="1" spans="1:14" ht="15.75" thickBot="1" x14ac:dyDescent="0.3">
      <c r="A1" s="2"/>
      <c r="D1" s="2" t="s">
        <v>285</v>
      </c>
      <c r="E1" s="2" t="s">
        <v>287</v>
      </c>
      <c r="F1" s="2" t="s">
        <v>286</v>
      </c>
      <c r="G1" s="2" t="s">
        <v>288</v>
      </c>
      <c r="H1" s="82" t="s">
        <v>289</v>
      </c>
    </row>
    <row r="2" spans="1:14" x14ac:dyDescent="0.25">
      <c r="C2" t="s">
        <v>278</v>
      </c>
      <c r="D2" s="58">
        <v>360</v>
      </c>
      <c r="E2" s="90">
        <v>360</v>
      </c>
      <c r="F2" s="96">
        <v>360</v>
      </c>
      <c r="G2" s="93">
        <v>360</v>
      </c>
      <c r="H2" s="58">
        <v>360</v>
      </c>
    </row>
    <row r="3" spans="1:14" x14ac:dyDescent="0.25">
      <c r="C3" t="s">
        <v>279</v>
      </c>
      <c r="D3">
        <f>D2*4</f>
        <v>1440</v>
      </c>
      <c r="E3">
        <f>E2*4</f>
        <v>1440</v>
      </c>
      <c r="F3" s="97">
        <f>F2*4</f>
        <v>1440</v>
      </c>
      <c r="G3">
        <f>G2*4</f>
        <v>1440</v>
      </c>
      <c r="H3">
        <f>H2*4</f>
        <v>1440</v>
      </c>
      <c r="J3" t="s">
        <v>358</v>
      </c>
      <c r="K3">
        <v>1000</v>
      </c>
    </row>
    <row r="4" spans="1:14" x14ac:dyDescent="0.25">
      <c r="C4" t="s">
        <v>283</v>
      </c>
      <c r="D4" s="58">
        <v>1.21E-2</v>
      </c>
      <c r="E4" s="90">
        <v>0.01</v>
      </c>
      <c r="F4" s="98">
        <v>6.0000000000000001E-3</v>
      </c>
      <c r="G4" s="93">
        <v>5.0000000000000001E-3</v>
      </c>
      <c r="H4" s="58">
        <v>3.0000000000000001E-3</v>
      </c>
    </row>
    <row r="5" spans="1:14" x14ac:dyDescent="0.25">
      <c r="C5" t="s">
        <v>275</v>
      </c>
      <c r="D5">
        <f xml:space="preserve"> D4*200</f>
        <v>2.42</v>
      </c>
      <c r="E5">
        <f xml:space="preserve"> E4*200</f>
        <v>2</v>
      </c>
      <c r="F5" s="97">
        <f xml:space="preserve"> F4*200</f>
        <v>1.2</v>
      </c>
      <c r="G5">
        <f xml:space="preserve"> G4*200</f>
        <v>1</v>
      </c>
      <c r="H5">
        <f xml:space="preserve"> H4*200</f>
        <v>0.6</v>
      </c>
    </row>
    <row r="6" spans="1:14" x14ac:dyDescent="0.25">
      <c r="C6" t="s">
        <v>276</v>
      </c>
      <c r="D6">
        <f>D5*1000</f>
        <v>2420</v>
      </c>
      <c r="E6">
        <f>E5*1000</f>
        <v>2000</v>
      </c>
      <c r="F6" s="97">
        <f>F5*1000</f>
        <v>1200</v>
      </c>
      <c r="G6">
        <f>G5*1000</f>
        <v>1000</v>
      </c>
      <c r="H6">
        <f>H5*Multiple</f>
        <v>600</v>
      </c>
    </row>
    <row r="7" spans="1:14" x14ac:dyDescent="0.25">
      <c r="C7" t="s">
        <v>280</v>
      </c>
      <c r="D7" s="70">
        <f>D6/D3</f>
        <v>1.6805555555555556</v>
      </c>
      <c r="E7" s="91">
        <f>E6/E3</f>
        <v>1.3888888888888888</v>
      </c>
      <c r="F7" s="99">
        <f>F6/F3</f>
        <v>0.83333333333333337</v>
      </c>
      <c r="G7" s="94">
        <f>G6/G3</f>
        <v>0.69444444444444442</v>
      </c>
      <c r="H7" s="70">
        <f>H6/H3</f>
        <v>0.41666666666666669</v>
      </c>
    </row>
    <row r="8" spans="1:14" x14ac:dyDescent="0.25">
      <c r="C8" t="s">
        <v>281</v>
      </c>
      <c r="D8" s="51">
        <f>D7*1000</f>
        <v>1680.5555555555557</v>
      </c>
      <c r="E8" s="51">
        <f>E7*1000</f>
        <v>1388.8888888888889</v>
      </c>
      <c r="F8" s="100">
        <f>F7*1000</f>
        <v>833.33333333333337</v>
      </c>
      <c r="G8" s="51">
        <f>G7*1000</f>
        <v>694.44444444444446</v>
      </c>
      <c r="H8" s="51">
        <f>H7*Multiple</f>
        <v>416.66666666666669</v>
      </c>
      <c r="M8" t="s">
        <v>291</v>
      </c>
      <c r="N8" t="s">
        <v>361</v>
      </c>
    </row>
    <row r="9" spans="1:14" x14ac:dyDescent="0.25">
      <c r="C9" t="s">
        <v>284</v>
      </c>
      <c r="D9" s="71">
        <f>D7*2</f>
        <v>3.3611111111111112</v>
      </c>
      <c r="E9" s="92">
        <f>E7*2</f>
        <v>2.7777777777777777</v>
      </c>
      <c r="F9" s="101">
        <f>F7*2</f>
        <v>1.6666666666666667</v>
      </c>
      <c r="G9" s="95">
        <f>G7*2</f>
        <v>1.3888888888888888</v>
      </c>
      <c r="H9" s="71">
        <f>H7*2</f>
        <v>0.83333333333333337</v>
      </c>
      <c r="J9" t="s">
        <v>360</v>
      </c>
      <c r="M9">
        <v>63.5</v>
      </c>
      <c r="N9">
        <v>2.5</v>
      </c>
    </row>
    <row r="10" spans="1:14" x14ac:dyDescent="0.25">
      <c r="C10" t="s">
        <v>240</v>
      </c>
      <c r="D10" s="58">
        <v>200</v>
      </c>
      <c r="E10" s="90">
        <v>200</v>
      </c>
      <c r="F10" s="98">
        <v>200</v>
      </c>
      <c r="G10" s="93">
        <v>200</v>
      </c>
      <c r="H10" s="58">
        <v>200</v>
      </c>
    </row>
    <row r="11" spans="1:14" x14ac:dyDescent="0.25">
      <c r="C11" t="s">
        <v>241</v>
      </c>
      <c r="D11" s="58">
        <v>256</v>
      </c>
      <c r="E11" s="90">
        <v>256</v>
      </c>
      <c r="F11" s="98">
        <v>256</v>
      </c>
      <c r="G11" s="93">
        <v>256</v>
      </c>
      <c r="H11" s="58">
        <v>256</v>
      </c>
    </row>
    <row r="12" spans="1:14" x14ac:dyDescent="0.25">
      <c r="C12" t="s">
        <v>242</v>
      </c>
      <c r="D12" s="16">
        <f>D11*D10</f>
        <v>51200</v>
      </c>
      <c r="E12" s="16">
        <f>E11*E10</f>
        <v>51200</v>
      </c>
      <c r="F12" s="102">
        <f>F11*F10</f>
        <v>51200</v>
      </c>
      <c r="G12" s="16">
        <f>G11*G10</f>
        <v>51200</v>
      </c>
      <c r="H12" s="16">
        <f>H11*H10</f>
        <v>51200</v>
      </c>
    </row>
    <row r="13" spans="1:14" x14ac:dyDescent="0.25">
      <c r="C13" t="s">
        <v>224</v>
      </c>
      <c r="D13">
        <f>D6/D12</f>
        <v>4.7265624999999999E-2</v>
      </c>
      <c r="E13">
        <f>E6/E12</f>
        <v>3.90625E-2</v>
      </c>
      <c r="F13" s="97">
        <f>F6/F12</f>
        <v>2.34375E-2</v>
      </c>
      <c r="G13">
        <f>G6/G12</f>
        <v>1.953125E-2</v>
      </c>
      <c r="H13">
        <f>H6/H12</f>
        <v>1.171875E-2</v>
      </c>
    </row>
    <row r="14" spans="1:14" x14ac:dyDescent="0.25">
      <c r="C14" t="s">
        <v>244</v>
      </c>
      <c r="D14">
        <f>D13*1000</f>
        <v>47.265625</v>
      </c>
      <c r="E14">
        <f>E13*1000</f>
        <v>39.0625</v>
      </c>
      <c r="F14" s="97">
        <f>F13*1000</f>
        <v>23.4375</v>
      </c>
      <c r="G14">
        <f>G13*1000</f>
        <v>19.53125</v>
      </c>
      <c r="H14">
        <f>H13*Multiple</f>
        <v>11.71875</v>
      </c>
    </row>
    <row r="15" spans="1:14" x14ac:dyDescent="0.25">
      <c r="C15" t="s">
        <v>248</v>
      </c>
      <c r="D15" s="51">
        <f>D8</f>
        <v>1680.5555555555557</v>
      </c>
      <c r="E15" s="51">
        <f>E8</f>
        <v>1388.8888888888889</v>
      </c>
      <c r="F15" s="100">
        <f>F8</f>
        <v>833.33333333333337</v>
      </c>
      <c r="G15" s="51">
        <f>G8</f>
        <v>694.44444444444446</v>
      </c>
      <c r="H15" s="51">
        <f>H8</f>
        <v>416.66666666666669</v>
      </c>
    </row>
    <row r="16" spans="1:14" x14ac:dyDescent="0.25">
      <c r="C16" t="s">
        <v>277</v>
      </c>
      <c r="D16" s="68">
        <f>D7/D13</f>
        <v>35.555555555555557</v>
      </c>
      <c r="E16" s="68">
        <f>E7/E13</f>
        <v>35.555555555555557</v>
      </c>
      <c r="F16" s="103">
        <f>F7/F13</f>
        <v>35.555555555555557</v>
      </c>
      <c r="G16" s="68">
        <f>G7/G13</f>
        <v>35.555555555555557</v>
      </c>
      <c r="H16" s="68">
        <f>H7/H13</f>
        <v>35.555555555555557</v>
      </c>
    </row>
    <row r="17" spans="3:8" x14ac:dyDescent="0.25">
      <c r="C17" t="s">
        <v>245</v>
      </c>
      <c r="D17" s="58">
        <v>63958</v>
      </c>
      <c r="E17" s="90">
        <v>1000</v>
      </c>
      <c r="F17" s="98">
        <v>1000</v>
      </c>
      <c r="G17" s="93">
        <v>1000</v>
      </c>
      <c r="H17" s="58">
        <v>1000</v>
      </c>
    </row>
    <row r="18" spans="3:8" x14ac:dyDescent="0.25">
      <c r="C18" t="s">
        <v>282</v>
      </c>
      <c r="D18" s="17">
        <f>D17/D13</f>
        <v>1353160.9917355373</v>
      </c>
      <c r="E18" s="69">
        <f>E17/E13</f>
        <v>25600</v>
      </c>
      <c r="F18" s="104">
        <f>F17/F13</f>
        <v>42666.666666666664</v>
      </c>
      <c r="G18" s="17">
        <f>G17/G13</f>
        <v>51200</v>
      </c>
      <c r="H18" s="17">
        <f>H17/H13</f>
        <v>85333.333333333328</v>
      </c>
    </row>
    <row r="19" spans="3:8" x14ac:dyDescent="0.25">
      <c r="C19" t="s">
        <v>247</v>
      </c>
      <c r="D19" s="17">
        <f>D17/D7</f>
        <v>38057.652892561986</v>
      </c>
      <c r="E19" s="69">
        <f>E17/E7</f>
        <v>720</v>
      </c>
      <c r="F19" s="104">
        <f>F17/F7</f>
        <v>1200</v>
      </c>
      <c r="G19" s="17">
        <f>G17/G7</f>
        <v>1440</v>
      </c>
      <c r="H19" s="17">
        <f>H17/H7</f>
        <v>2400</v>
      </c>
    </row>
    <row r="20" spans="3:8" x14ac:dyDescent="0.25">
      <c r="C20" t="s">
        <v>274</v>
      </c>
      <c r="D20">
        <f>D14</f>
        <v>47.265625</v>
      </c>
      <c r="E20">
        <f>E14</f>
        <v>39.0625</v>
      </c>
      <c r="F20" s="97">
        <f>F14</f>
        <v>23.4375</v>
      </c>
      <c r="G20">
        <f>G14</f>
        <v>19.53125</v>
      </c>
      <c r="H20">
        <f>H14</f>
        <v>11.71875</v>
      </c>
    </row>
    <row r="21" spans="3:8" x14ac:dyDescent="0.25">
      <c r="C21" t="s">
        <v>225</v>
      </c>
      <c r="D21">
        <v>30</v>
      </c>
      <c r="E21">
        <v>30</v>
      </c>
      <c r="F21" s="97">
        <v>30</v>
      </c>
      <c r="G21">
        <v>30</v>
      </c>
      <c r="H21">
        <v>30</v>
      </c>
    </row>
    <row r="22" spans="3:8" x14ac:dyDescent="0.25">
      <c r="C22" t="s">
        <v>339</v>
      </c>
      <c r="D22" s="51">
        <f>(D21/D7)*1000</f>
        <v>17851.239669421488</v>
      </c>
      <c r="E22" s="51">
        <f t="shared" ref="E22:G22" si="0">(E21/E7)*1000</f>
        <v>21600</v>
      </c>
      <c r="F22" s="100">
        <f t="shared" si="0"/>
        <v>36000</v>
      </c>
      <c r="G22" s="51">
        <f t="shared" si="0"/>
        <v>43200</v>
      </c>
      <c r="H22" s="51">
        <f>(H21/H7)*Multiple</f>
        <v>72000</v>
      </c>
    </row>
    <row r="23" spans="3:8" x14ac:dyDescent="0.25">
      <c r="F23" s="97"/>
    </row>
    <row r="24" spans="3:8" ht="45" x14ac:dyDescent="0.25">
      <c r="F24" s="105" t="s">
        <v>356</v>
      </c>
      <c r="H24" s="81" t="s">
        <v>357</v>
      </c>
    </row>
    <row r="25" spans="3:8" x14ac:dyDescent="0.25">
      <c r="C25" t="s">
        <v>362</v>
      </c>
      <c r="D25">
        <f>M9/D5</f>
        <v>26.239669421487605</v>
      </c>
      <c r="F25" s="97">
        <f>M9/F5</f>
        <v>52.916666666666671</v>
      </c>
      <c r="G25">
        <f>M9/G5</f>
        <v>63.5</v>
      </c>
      <c r="H25">
        <f>M9/H5</f>
        <v>105.83333333333334</v>
      </c>
    </row>
    <row r="26" spans="3:8" x14ac:dyDescent="0.25">
      <c r="C26" t="s">
        <v>363</v>
      </c>
      <c r="F26" s="97"/>
      <c r="H26">
        <v>10</v>
      </c>
    </row>
    <row r="27" spans="3:8" ht="15.75" thickBot="1" x14ac:dyDescent="0.3">
      <c r="C27" t="s">
        <v>364</v>
      </c>
      <c r="F27" s="106"/>
      <c r="H27">
        <f>H25/H26</f>
        <v>10.583333333333334</v>
      </c>
    </row>
    <row r="28" spans="3:8" x14ac:dyDescent="0.25">
      <c r="C28" t="s">
        <v>366</v>
      </c>
    </row>
    <row r="30" spans="3:8" x14ac:dyDescent="0.25">
      <c r="C30" t="s">
        <v>377</v>
      </c>
      <c r="F30">
        <f>62.891-0.374</f>
        <v>62.516999999999996</v>
      </c>
    </row>
    <row r="31" spans="3:8" x14ac:dyDescent="0.25">
      <c r="C31" t="s">
        <v>378</v>
      </c>
      <c r="F31">
        <v>5.5</v>
      </c>
    </row>
    <row r="32" spans="3:8" x14ac:dyDescent="0.25">
      <c r="C32" t="s">
        <v>379</v>
      </c>
      <c r="F32" s="107">
        <f>F30/F31</f>
        <v>11.366727272727273</v>
      </c>
    </row>
    <row r="33" spans="3:6" x14ac:dyDescent="0.25">
      <c r="C33" t="s">
        <v>380</v>
      </c>
      <c r="F33" s="107">
        <f>F32/F5</f>
        <v>9.4722727272727276</v>
      </c>
    </row>
    <row r="34" spans="3:6" x14ac:dyDescent="0.25">
      <c r="C34" t="s">
        <v>376</v>
      </c>
      <c r="F34" s="107">
        <f>F33*60</f>
        <v>568.33636363636367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topLeftCell="A10" workbookViewId="0">
      <selection activeCell="R29" sqref="R28:R29"/>
    </sheetView>
  </sheetViews>
  <sheetFormatPr defaultRowHeight="15" x14ac:dyDescent="0.25"/>
  <cols>
    <col min="2" max="2" width="19.28515625" customWidth="1"/>
    <col min="3" max="3" width="13.42578125" customWidth="1"/>
    <col min="4" max="4" width="10.5703125" customWidth="1"/>
  </cols>
  <sheetData>
    <row r="2" spans="2:6" x14ac:dyDescent="0.25">
      <c r="B2" s="46" t="s">
        <v>184</v>
      </c>
    </row>
    <row r="4" spans="2:6" x14ac:dyDescent="0.25">
      <c r="B4" t="s">
        <v>185</v>
      </c>
      <c r="C4" t="s">
        <v>186</v>
      </c>
      <c r="D4" s="47">
        <v>41.2</v>
      </c>
    </row>
    <row r="5" spans="2:6" x14ac:dyDescent="0.25">
      <c r="C5" t="s">
        <v>187</v>
      </c>
      <c r="D5" s="48">
        <f>46.5/(D4-5.2)</f>
        <v>1.2916666666666667</v>
      </c>
    </row>
    <row r="7" spans="2:6" x14ac:dyDescent="0.25">
      <c r="B7" t="s">
        <v>40</v>
      </c>
      <c r="C7" s="49">
        <v>5</v>
      </c>
      <c r="D7" s="49">
        <v>5.25</v>
      </c>
      <c r="E7" s="48">
        <f>0.9*(E8/E9)+1</f>
        <v>4.9779999999999998</v>
      </c>
      <c r="F7" s="48">
        <f>0.9*(F8/F9)+1</f>
        <v>4.798</v>
      </c>
    </row>
    <row r="8" spans="2:6" x14ac:dyDescent="0.25">
      <c r="B8" t="s">
        <v>48</v>
      </c>
      <c r="C8" s="16">
        <v>1000000</v>
      </c>
      <c r="D8" s="16">
        <v>994000</v>
      </c>
      <c r="E8" s="16">
        <v>442000</v>
      </c>
      <c r="F8" s="16">
        <v>422000</v>
      </c>
    </row>
    <row r="9" spans="2:6" x14ac:dyDescent="0.25">
      <c r="B9" t="s">
        <v>49</v>
      </c>
      <c r="C9" s="16">
        <v>243000</v>
      </c>
      <c r="D9" s="16">
        <f>D8/((D7/0.97)-1)</f>
        <v>225275.70093457942</v>
      </c>
      <c r="E9" s="16">
        <v>100000</v>
      </c>
      <c r="F9" s="16">
        <v>100000</v>
      </c>
    </row>
    <row r="10" spans="2:6" x14ac:dyDescent="0.25">
      <c r="F10" t="s">
        <v>199</v>
      </c>
    </row>
    <row r="15" spans="2:6" x14ac:dyDescent="0.25">
      <c r="B15" t="s">
        <v>217</v>
      </c>
    </row>
    <row r="16" spans="2:6" x14ac:dyDescent="0.25">
      <c r="B16" t="s">
        <v>49</v>
      </c>
      <c r="C16">
        <v>2000</v>
      </c>
    </row>
    <row r="17" spans="2:3" x14ac:dyDescent="0.25">
      <c r="B17" t="s">
        <v>48</v>
      </c>
      <c r="C17">
        <v>470</v>
      </c>
    </row>
    <row r="18" spans="2:3" x14ac:dyDescent="0.25">
      <c r="B18" t="s">
        <v>218</v>
      </c>
      <c r="C18">
        <v>1.25</v>
      </c>
    </row>
    <row r="19" spans="2:3" x14ac:dyDescent="0.25">
      <c r="B19" t="s">
        <v>40</v>
      </c>
      <c r="C19" s="53">
        <f>(C18*(1+(C16/C17)))</f>
        <v>6.5691489361702127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0"/>
  <sheetViews>
    <sheetView topLeftCell="F1" zoomScaleNormal="100" workbookViewId="0">
      <selection activeCell="F4" sqref="F4"/>
    </sheetView>
  </sheetViews>
  <sheetFormatPr defaultRowHeight="15" x14ac:dyDescent="0.25"/>
  <cols>
    <col min="1" max="1" width="12.140625" style="2" customWidth="1"/>
    <col min="2" max="2" width="15" style="2" customWidth="1"/>
    <col min="3" max="3" width="15.28515625" style="2" customWidth="1"/>
    <col min="4" max="5" width="15" style="2" customWidth="1"/>
    <col min="6" max="6" width="11.7109375" style="2" customWidth="1"/>
    <col min="7" max="7" width="9.140625" style="2"/>
    <col min="8" max="8" width="19.28515625" style="2" customWidth="1"/>
    <col min="9" max="9" width="12.140625" style="2" customWidth="1"/>
    <col min="10" max="10" width="20.85546875" style="2" customWidth="1"/>
    <col min="11" max="11" width="15.28515625" style="2" customWidth="1"/>
    <col min="12" max="14" width="9.140625" style="2"/>
    <col min="15" max="15" width="18.5703125" style="2" customWidth="1"/>
    <col min="16" max="17" width="11.28515625" style="2" customWidth="1"/>
    <col min="18" max="18" width="21.5703125" style="2" customWidth="1"/>
    <col min="19" max="19" width="14" style="2" customWidth="1"/>
    <col min="20" max="23" width="9.140625" style="2"/>
    <col min="24" max="24" width="11.7109375" style="2" customWidth="1"/>
    <col min="25" max="25" width="30.85546875" style="2" customWidth="1"/>
    <col min="26" max="26" width="10" style="2" customWidth="1"/>
    <col min="27" max="16384" width="9.140625" style="2"/>
  </cols>
  <sheetData>
    <row r="1" spans="1:32" ht="15.75" thickBot="1" x14ac:dyDescent="0.3"/>
    <row r="2" spans="1:32" ht="15.75" thickBot="1" x14ac:dyDescent="0.3">
      <c r="E2" s="2" t="s">
        <v>189</v>
      </c>
      <c r="F2" s="30" t="s">
        <v>75</v>
      </c>
      <c r="H2" s="40" t="s">
        <v>80</v>
      </c>
      <c r="I2" s="41" t="s">
        <v>133</v>
      </c>
      <c r="J2" s="42" t="s">
        <v>132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3"/>
    </row>
    <row r="3" spans="1:32" x14ac:dyDescent="0.25">
      <c r="A3" s="1" t="s">
        <v>87</v>
      </c>
      <c r="B3" s="1" t="s">
        <v>85</v>
      </c>
      <c r="C3" s="1" t="s">
        <v>89</v>
      </c>
      <c r="D3" s="1" t="s">
        <v>94</v>
      </c>
      <c r="E3" s="2">
        <v>1023</v>
      </c>
      <c r="F3" s="3">
        <v>33500</v>
      </c>
      <c r="H3" s="34"/>
      <c r="I3" s="1" t="s">
        <v>107</v>
      </c>
      <c r="J3" s="1" t="s">
        <v>106</v>
      </c>
      <c r="K3" s="1" t="s">
        <v>115</v>
      </c>
      <c r="L3" s="1" t="s">
        <v>101</v>
      </c>
      <c r="M3" s="1" t="s">
        <v>102</v>
      </c>
      <c r="N3" s="19"/>
      <c r="O3" s="1" t="s">
        <v>119</v>
      </c>
      <c r="P3" s="1" t="s">
        <v>120</v>
      </c>
      <c r="Q3" s="1" t="s">
        <v>165</v>
      </c>
      <c r="R3" s="1" t="s">
        <v>121</v>
      </c>
      <c r="S3" s="19"/>
      <c r="T3" s="19"/>
      <c r="U3" s="19"/>
      <c r="V3" s="19"/>
      <c r="W3" s="19"/>
      <c r="X3" s="50" t="s">
        <v>191</v>
      </c>
      <c r="Y3" s="45" t="s">
        <v>193</v>
      </c>
      <c r="AF3" s="35"/>
    </row>
    <row r="4" spans="1:32" x14ac:dyDescent="0.25">
      <c r="A4" s="2">
        <v>1</v>
      </c>
      <c r="B4" s="2" t="s">
        <v>86</v>
      </c>
      <c r="C4" s="2" t="s">
        <v>90</v>
      </c>
      <c r="D4" s="2" t="s">
        <v>96</v>
      </c>
      <c r="H4" s="34"/>
      <c r="I4" s="19">
        <v>1</v>
      </c>
      <c r="J4" s="19" t="s">
        <v>108</v>
      </c>
      <c r="K4" s="19" t="s">
        <v>86</v>
      </c>
      <c r="L4" s="19" t="s">
        <v>90</v>
      </c>
      <c r="M4" s="19"/>
      <c r="N4" s="19" t="s">
        <v>194</v>
      </c>
      <c r="O4" s="20">
        <v>1</v>
      </c>
      <c r="P4" s="19">
        <v>2</v>
      </c>
      <c r="Q4" s="20">
        <f t="shared" ref="Q4:Q10" si="0">max_speed_div/P4</f>
        <v>511.5</v>
      </c>
      <c r="R4" s="20">
        <f t="shared" ref="R4:R10" si="1">(MAX_SPEED)/Q4</f>
        <v>65.493646138807435</v>
      </c>
      <c r="S4" s="19"/>
      <c r="T4" s="19"/>
      <c r="U4" s="19"/>
      <c r="V4" s="19"/>
      <c r="W4" s="19"/>
      <c r="X4" s="19"/>
      <c r="Y4" s="1" t="s">
        <v>192</v>
      </c>
      <c r="Z4" s="1" t="s">
        <v>165</v>
      </c>
      <c r="AF4" s="35"/>
    </row>
    <row r="5" spans="1:32" x14ac:dyDescent="0.25">
      <c r="A5" s="2">
        <v>2</v>
      </c>
      <c r="B5" s="2" t="s">
        <v>88</v>
      </c>
      <c r="C5" s="2" t="s">
        <v>91</v>
      </c>
      <c r="D5" s="2" t="s">
        <v>96</v>
      </c>
      <c r="H5" s="34"/>
      <c r="I5" s="19">
        <v>2</v>
      </c>
      <c r="J5" s="19" t="s">
        <v>109</v>
      </c>
      <c r="K5" s="19" t="s">
        <v>86</v>
      </c>
      <c r="L5" s="19" t="s">
        <v>90</v>
      </c>
      <c r="M5" s="19"/>
      <c r="N5" s="19"/>
      <c r="O5" s="19">
        <v>2</v>
      </c>
      <c r="P5" s="19">
        <v>12</v>
      </c>
      <c r="Q5" s="20">
        <f t="shared" si="0"/>
        <v>85.25</v>
      </c>
      <c r="R5" s="20">
        <f t="shared" si="1"/>
        <v>392.96187683284455</v>
      </c>
      <c r="S5" s="19"/>
      <c r="T5" s="19"/>
      <c r="U5" s="19"/>
      <c r="V5" s="19"/>
      <c r="W5" s="19"/>
      <c r="X5" s="19" t="s">
        <v>195</v>
      </c>
      <c r="Y5" s="2">
        <v>16</v>
      </c>
      <c r="Z5" s="2">
        <v>85</v>
      </c>
      <c r="AF5" s="35"/>
    </row>
    <row r="6" spans="1:32" x14ac:dyDescent="0.25">
      <c r="A6" s="2">
        <v>3</v>
      </c>
      <c r="B6" s="2" t="s">
        <v>92</v>
      </c>
      <c r="C6" s="2" t="s">
        <v>91</v>
      </c>
      <c r="D6" s="2" t="s">
        <v>96</v>
      </c>
      <c r="H6" s="34"/>
      <c r="I6" s="19">
        <v>3</v>
      </c>
      <c r="J6" s="19" t="s">
        <v>110</v>
      </c>
      <c r="K6" s="19" t="s">
        <v>86</v>
      </c>
      <c r="L6" s="19" t="s">
        <v>90</v>
      </c>
      <c r="M6" s="19"/>
      <c r="N6" s="19"/>
      <c r="O6" s="19">
        <v>3</v>
      </c>
      <c r="P6" s="19">
        <v>26</v>
      </c>
      <c r="Q6" s="20">
        <f t="shared" si="0"/>
        <v>39.346153846153847</v>
      </c>
      <c r="R6" s="20">
        <f t="shared" si="1"/>
        <v>851.41739980449654</v>
      </c>
      <c r="S6" s="19"/>
      <c r="T6" s="19"/>
      <c r="U6" s="19"/>
      <c r="V6" s="19"/>
      <c r="W6" s="19"/>
      <c r="X6" s="19" t="s">
        <v>194</v>
      </c>
      <c r="Y6" s="2">
        <v>180</v>
      </c>
      <c r="Z6" s="2">
        <v>1023</v>
      </c>
      <c r="AF6" s="35"/>
    </row>
    <row r="7" spans="1:32" x14ac:dyDescent="0.25">
      <c r="A7" s="2">
        <v>4</v>
      </c>
      <c r="B7" s="2" t="s">
        <v>93</v>
      </c>
      <c r="C7" s="2" t="s">
        <v>90</v>
      </c>
      <c r="D7" s="2" t="s">
        <v>95</v>
      </c>
      <c r="H7" s="34"/>
      <c r="I7" s="19">
        <v>4</v>
      </c>
      <c r="J7" s="19" t="s">
        <v>111</v>
      </c>
      <c r="K7" s="19" t="s">
        <v>86</v>
      </c>
      <c r="L7" s="19" t="s">
        <v>90</v>
      </c>
      <c r="M7" s="19"/>
      <c r="N7" s="19"/>
      <c r="O7" s="20">
        <v>4</v>
      </c>
      <c r="P7" s="19">
        <v>51</v>
      </c>
      <c r="Q7" s="20">
        <f t="shared" si="0"/>
        <v>20.058823529411764</v>
      </c>
      <c r="R7" s="20">
        <f t="shared" si="1"/>
        <v>1670.0879765395894</v>
      </c>
      <c r="S7" s="19"/>
      <c r="T7" s="19"/>
      <c r="U7" s="19"/>
      <c r="V7" s="19"/>
      <c r="W7" s="19"/>
      <c r="X7" s="19"/>
      <c r="AF7" s="35"/>
    </row>
    <row r="8" spans="1:32" x14ac:dyDescent="0.25">
      <c r="H8" s="34"/>
      <c r="I8" s="19">
        <v>5</v>
      </c>
      <c r="J8" s="19" t="s">
        <v>112</v>
      </c>
      <c r="K8" s="19" t="s">
        <v>86</v>
      </c>
      <c r="L8" s="19" t="s">
        <v>90</v>
      </c>
      <c r="M8" s="19"/>
      <c r="N8" s="19"/>
      <c r="O8" s="19">
        <v>5</v>
      </c>
      <c r="P8" s="19">
        <v>200</v>
      </c>
      <c r="Q8" s="20">
        <f t="shared" si="0"/>
        <v>5.1150000000000002</v>
      </c>
      <c r="R8" s="20">
        <f t="shared" si="1"/>
        <v>6549.3646138807426</v>
      </c>
      <c r="S8" s="19"/>
      <c r="T8" s="19"/>
      <c r="U8" s="19"/>
      <c r="V8" s="19"/>
      <c r="W8" s="19"/>
      <c r="X8" s="19"/>
      <c r="AF8" s="35"/>
    </row>
    <row r="9" spans="1:32" x14ac:dyDescent="0.25">
      <c r="A9" s="1" t="s">
        <v>84</v>
      </c>
      <c r="B9" s="45" t="s">
        <v>188</v>
      </c>
      <c r="H9" s="34"/>
      <c r="I9" s="19">
        <v>6</v>
      </c>
      <c r="J9" s="19" t="s">
        <v>113</v>
      </c>
      <c r="K9" s="19" t="s">
        <v>88</v>
      </c>
      <c r="L9" s="19" t="s">
        <v>116</v>
      </c>
      <c r="M9" s="31" t="s">
        <v>118</v>
      </c>
      <c r="N9" s="19"/>
      <c r="O9" s="19">
        <v>6</v>
      </c>
      <c r="P9" s="19">
        <v>512</v>
      </c>
      <c r="Q9" s="20">
        <f t="shared" si="0"/>
        <v>1.998046875</v>
      </c>
      <c r="R9" s="20">
        <f t="shared" si="1"/>
        <v>16766.373411534703</v>
      </c>
      <c r="S9" s="19"/>
      <c r="T9" s="19"/>
      <c r="U9" s="19"/>
      <c r="V9" s="19"/>
      <c r="W9" s="19"/>
      <c r="X9" s="19"/>
      <c r="AF9" s="35"/>
    </row>
    <row r="10" spans="1:32" x14ac:dyDescent="0.25">
      <c r="A10" s="2" t="s">
        <v>166</v>
      </c>
      <c r="B10" s="2" t="s">
        <v>169</v>
      </c>
      <c r="C10" s="2" t="s">
        <v>170</v>
      </c>
      <c r="D10" s="2" t="s">
        <v>173</v>
      </c>
      <c r="E10" s="2" t="s">
        <v>174</v>
      </c>
      <c r="F10" s="2" t="s">
        <v>171</v>
      </c>
      <c r="H10" s="34"/>
      <c r="I10" s="19">
        <v>7</v>
      </c>
      <c r="J10" s="19" t="s">
        <v>114</v>
      </c>
      <c r="K10" s="19" t="s">
        <v>92</v>
      </c>
      <c r="L10" s="19" t="s">
        <v>116</v>
      </c>
      <c r="M10" s="19" t="s">
        <v>117</v>
      </c>
      <c r="N10" s="19" t="s">
        <v>195</v>
      </c>
      <c r="O10" s="19">
        <v>7</v>
      </c>
      <c r="P10" s="19">
        <v>1023</v>
      </c>
      <c r="Q10" s="20">
        <f t="shared" si="0"/>
        <v>1</v>
      </c>
      <c r="R10" s="20">
        <f t="shared" si="1"/>
        <v>33500</v>
      </c>
      <c r="S10" s="19"/>
      <c r="T10" s="19"/>
      <c r="U10" s="19"/>
      <c r="V10" s="19"/>
      <c r="W10" s="19"/>
      <c r="X10" s="19"/>
      <c r="AF10" s="35"/>
    </row>
    <row r="11" spans="1:32" x14ac:dyDescent="0.25">
      <c r="A11" s="2" t="s">
        <v>167</v>
      </c>
      <c r="B11" s="2" t="s">
        <v>169</v>
      </c>
      <c r="C11" s="2" t="s">
        <v>170</v>
      </c>
      <c r="D11" s="2" t="s">
        <v>173</v>
      </c>
      <c r="E11" s="2" t="s">
        <v>174</v>
      </c>
      <c r="F11" s="2" t="s">
        <v>171</v>
      </c>
      <c r="H11" s="34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AF11" s="35"/>
    </row>
    <row r="12" spans="1:32" x14ac:dyDescent="0.25">
      <c r="A12" s="2" t="s">
        <v>168</v>
      </c>
      <c r="B12" s="2" t="s">
        <v>169</v>
      </c>
      <c r="C12" s="2" t="s">
        <v>170</v>
      </c>
      <c r="D12" s="2" t="s">
        <v>173</v>
      </c>
      <c r="E12" s="2" t="s">
        <v>174</v>
      </c>
      <c r="F12" s="2" t="s">
        <v>171</v>
      </c>
      <c r="H12" s="34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AF12" s="35"/>
    </row>
    <row r="13" spans="1:32" x14ac:dyDescent="0.25">
      <c r="H13" s="34"/>
      <c r="I13" s="19"/>
      <c r="J13" s="19"/>
      <c r="K13" s="19"/>
      <c r="L13" s="19"/>
      <c r="M13" s="19"/>
      <c r="N13" s="1" t="s">
        <v>103</v>
      </c>
      <c r="O13" s="1" t="s">
        <v>122</v>
      </c>
      <c r="P13" s="19" t="s">
        <v>129</v>
      </c>
      <c r="Q13" s="19"/>
      <c r="R13" s="19" t="s">
        <v>130</v>
      </c>
      <c r="S13" s="19" t="s">
        <v>131</v>
      </c>
      <c r="T13" s="19"/>
      <c r="U13" s="19"/>
      <c r="V13" s="19"/>
      <c r="W13" s="19"/>
      <c r="X13" s="19"/>
      <c r="AF13" s="35"/>
    </row>
    <row r="14" spans="1:32" ht="15.75" thickBot="1" x14ac:dyDescent="0.3">
      <c r="A14" s="1" t="s">
        <v>172</v>
      </c>
      <c r="H14" s="36"/>
      <c r="I14" s="37"/>
      <c r="J14" s="37"/>
      <c r="K14" s="37"/>
      <c r="L14" s="37"/>
      <c r="M14" s="37"/>
      <c r="N14" s="38">
        <v>1</v>
      </c>
      <c r="O14" s="38">
        <v>10</v>
      </c>
      <c r="P14" s="37"/>
      <c r="Q14" s="37"/>
      <c r="R14" s="38">
        <v>10</v>
      </c>
      <c r="S14" s="37">
        <f>IF(N14,(O14*R14),-1*(O14*R14))</f>
        <v>100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9"/>
    </row>
    <row r="15" spans="1:32" x14ac:dyDescent="0.25">
      <c r="A15" s="2" t="s">
        <v>176</v>
      </c>
      <c r="B15" s="2">
        <v>255</v>
      </c>
    </row>
    <row r="16" spans="1:32" ht="15.75" thickBot="1" x14ac:dyDescent="0.3">
      <c r="A16" s="2" t="s">
        <v>175</v>
      </c>
      <c r="B16" s="2">
        <v>0</v>
      </c>
      <c r="C16" s="45" t="s">
        <v>183</v>
      </c>
    </row>
    <row r="17" spans="1:19" ht="15.75" thickBot="1" x14ac:dyDescent="0.3">
      <c r="A17" s="2" t="s">
        <v>177</v>
      </c>
      <c r="B17" s="2">
        <v>1</v>
      </c>
      <c r="H17" s="40" t="s">
        <v>134</v>
      </c>
      <c r="I17" s="41" t="s">
        <v>133</v>
      </c>
      <c r="J17" s="42" t="s">
        <v>135</v>
      </c>
      <c r="K17" s="32"/>
      <c r="L17" s="32"/>
      <c r="M17" s="32"/>
      <c r="N17" s="32"/>
      <c r="O17" s="32"/>
      <c r="P17" s="32"/>
      <c r="Q17" s="33"/>
    </row>
    <row r="18" spans="1:19" x14ac:dyDescent="0.25">
      <c r="A18" s="2" t="s">
        <v>178</v>
      </c>
      <c r="B18" s="2">
        <v>2</v>
      </c>
      <c r="H18" s="34"/>
      <c r="I18" s="1" t="s">
        <v>107</v>
      </c>
      <c r="J18" s="1" t="s">
        <v>106</v>
      </c>
      <c r="K18" s="1" t="s">
        <v>115</v>
      </c>
      <c r="L18" s="1" t="s">
        <v>101</v>
      </c>
      <c r="M18" s="1" t="s">
        <v>102</v>
      </c>
      <c r="N18" s="19"/>
      <c r="O18" s="1" t="s">
        <v>144</v>
      </c>
      <c r="P18" s="1" t="s">
        <v>82</v>
      </c>
      <c r="Q18" s="43" t="s">
        <v>165</v>
      </c>
      <c r="R18" s="2" t="s">
        <v>206</v>
      </c>
      <c r="S18" s="2" t="s">
        <v>207</v>
      </c>
    </row>
    <row r="19" spans="1:19" ht="15.75" thickBot="1" x14ac:dyDescent="0.3">
      <c r="A19" s="2" t="s">
        <v>179</v>
      </c>
      <c r="B19" s="2">
        <v>3</v>
      </c>
      <c r="H19" s="34"/>
      <c r="I19" s="19">
        <v>1</v>
      </c>
      <c r="J19" s="19" t="s">
        <v>136</v>
      </c>
      <c r="K19" s="2" t="s">
        <v>92</v>
      </c>
      <c r="L19" s="19" t="s">
        <v>116</v>
      </c>
      <c r="M19" s="19" t="s">
        <v>143</v>
      </c>
      <c r="N19" s="19"/>
      <c r="O19" s="38">
        <v>100</v>
      </c>
      <c r="P19" s="19">
        <f>O19*(speed_knob/4095)</f>
        <v>100</v>
      </c>
      <c r="Q19" s="44">
        <f>P19/255</f>
        <v>0.39215686274509803</v>
      </c>
      <c r="R19" s="2">
        <v>0</v>
      </c>
      <c r="S19" s="2">
        <v>500</v>
      </c>
    </row>
    <row r="20" spans="1:19" x14ac:dyDescent="0.25">
      <c r="A20" s="2" t="s">
        <v>180</v>
      </c>
      <c r="B20" s="2">
        <v>4</v>
      </c>
      <c r="H20" s="34"/>
      <c r="I20" s="19">
        <v>2</v>
      </c>
      <c r="J20" s="19" t="s">
        <v>137</v>
      </c>
      <c r="K20" s="2" t="s">
        <v>92</v>
      </c>
      <c r="L20" s="19" t="s">
        <v>116</v>
      </c>
      <c r="M20" s="19" t="s">
        <v>143</v>
      </c>
      <c r="N20" s="19"/>
      <c r="O20" s="19"/>
      <c r="P20" s="19"/>
      <c r="Q20" s="35"/>
      <c r="R20" s="2">
        <v>509</v>
      </c>
      <c r="S20" s="2">
        <v>0</v>
      </c>
    </row>
    <row r="21" spans="1:19" x14ac:dyDescent="0.25">
      <c r="A21" s="2" t="s">
        <v>181</v>
      </c>
      <c r="B21" s="2">
        <v>5</v>
      </c>
      <c r="H21" s="34"/>
      <c r="I21" s="19">
        <v>3</v>
      </c>
      <c r="J21" s="19" t="s">
        <v>138</v>
      </c>
      <c r="K21" s="2" t="s">
        <v>92</v>
      </c>
      <c r="L21" s="19" t="s">
        <v>116</v>
      </c>
      <c r="M21" s="19" t="s">
        <v>143</v>
      </c>
      <c r="N21" s="19"/>
      <c r="O21" s="19"/>
      <c r="P21" s="19"/>
      <c r="Q21" s="35"/>
      <c r="R21" s="2">
        <v>512</v>
      </c>
      <c r="S21" s="2">
        <v>0</v>
      </c>
    </row>
    <row r="22" spans="1:19" x14ac:dyDescent="0.25">
      <c r="A22" s="2" t="s">
        <v>182</v>
      </c>
      <c r="B22" s="2">
        <v>6</v>
      </c>
      <c r="H22" s="34"/>
      <c r="I22" s="19">
        <v>4</v>
      </c>
      <c r="J22" s="19" t="s">
        <v>139</v>
      </c>
      <c r="K22" s="19" t="s">
        <v>88</v>
      </c>
      <c r="L22" s="19" t="s">
        <v>164</v>
      </c>
      <c r="M22" s="19"/>
      <c r="N22" s="19"/>
      <c r="O22" s="19">
        <v>4095</v>
      </c>
      <c r="P22" s="19"/>
      <c r="Q22" s="35"/>
      <c r="R22" s="2">
        <v>1020</v>
      </c>
      <c r="S22" s="2">
        <v>500</v>
      </c>
    </row>
    <row r="23" spans="1:19" x14ac:dyDescent="0.25">
      <c r="H23" s="34"/>
      <c r="I23" s="19">
        <v>5</v>
      </c>
      <c r="J23" s="19" t="s">
        <v>140</v>
      </c>
      <c r="K23" s="19" t="s">
        <v>93</v>
      </c>
      <c r="L23" s="19" t="s">
        <v>90</v>
      </c>
      <c r="M23" s="19"/>
      <c r="N23" s="19"/>
      <c r="O23" s="19"/>
      <c r="P23" s="19"/>
      <c r="Q23" s="35"/>
    </row>
    <row r="24" spans="1:19" x14ac:dyDescent="0.25">
      <c r="A24" s="1" t="s">
        <v>97</v>
      </c>
      <c r="B24" s="1" t="s">
        <v>85</v>
      </c>
      <c r="C24" s="1" t="s">
        <v>123</v>
      </c>
      <c r="D24" s="1" t="s">
        <v>101</v>
      </c>
      <c r="E24" s="1" t="s">
        <v>102</v>
      </c>
      <c r="F24" s="1" t="s">
        <v>165</v>
      </c>
      <c r="H24" s="34"/>
      <c r="I24" s="19">
        <v>6</v>
      </c>
      <c r="J24" s="19" t="s">
        <v>141</v>
      </c>
      <c r="K24" s="19" t="s">
        <v>93</v>
      </c>
      <c r="L24" s="19" t="s">
        <v>90</v>
      </c>
      <c r="M24" s="19"/>
      <c r="N24" s="19"/>
      <c r="O24" s="19"/>
      <c r="P24" s="19"/>
      <c r="Q24" s="35"/>
    </row>
    <row r="25" spans="1:19" ht="15.75" thickBot="1" x14ac:dyDescent="0.3">
      <c r="B25" s="2" t="s">
        <v>88</v>
      </c>
      <c r="C25" s="2" t="s">
        <v>124</v>
      </c>
      <c r="D25" s="2" t="s">
        <v>103</v>
      </c>
      <c r="E25" s="2" t="s">
        <v>98</v>
      </c>
      <c r="F25" s="2" t="s">
        <v>190</v>
      </c>
      <c r="H25" s="36"/>
      <c r="I25" s="37">
        <v>7</v>
      </c>
      <c r="J25" s="37" t="s">
        <v>142</v>
      </c>
      <c r="K25" s="37" t="s">
        <v>93</v>
      </c>
      <c r="L25" s="37" t="s">
        <v>90</v>
      </c>
      <c r="M25" s="37"/>
      <c r="N25" s="37"/>
      <c r="O25" s="37"/>
      <c r="P25" s="37"/>
      <c r="Q25" s="39"/>
    </row>
    <row r="26" spans="1:19" ht="15.75" thickBot="1" x14ac:dyDescent="0.3">
      <c r="B26" s="2" t="s">
        <v>92</v>
      </c>
      <c r="C26" s="2" t="s">
        <v>125</v>
      </c>
      <c r="D26" s="2" t="s">
        <v>103</v>
      </c>
      <c r="E26" s="2" t="s">
        <v>98</v>
      </c>
    </row>
    <row r="27" spans="1:19" ht="15.75" thickBot="1" x14ac:dyDescent="0.3">
      <c r="B27" s="2" t="s">
        <v>86</v>
      </c>
      <c r="C27" s="2" t="s">
        <v>127</v>
      </c>
      <c r="D27" s="2" t="s">
        <v>128</v>
      </c>
      <c r="E27" s="2" t="s">
        <v>104</v>
      </c>
      <c r="H27" s="40" t="s">
        <v>79</v>
      </c>
      <c r="I27" s="41" t="s">
        <v>133</v>
      </c>
      <c r="J27" s="42" t="s">
        <v>145</v>
      </c>
      <c r="K27" s="32"/>
      <c r="L27" s="32"/>
      <c r="M27" s="32"/>
      <c r="N27" s="32"/>
      <c r="O27" s="32"/>
      <c r="P27" s="32"/>
      <c r="Q27" s="32"/>
      <c r="R27" s="32"/>
      <c r="S27" s="33"/>
    </row>
    <row r="28" spans="1:19" x14ac:dyDescent="0.25">
      <c r="H28" s="34"/>
      <c r="I28" s="1" t="s">
        <v>107</v>
      </c>
      <c r="J28" s="1" t="s">
        <v>106</v>
      </c>
      <c r="K28" s="1" t="s">
        <v>115</v>
      </c>
      <c r="L28" s="1" t="s">
        <v>101</v>
      </c>
      <c r="M28" s="1" t="s">
        <v>102</v>
      </c>
      <c r="N28" s="19"/>
      <c r="O28" s="1" t="s">
        <v>162</v>
      </c>
      <c r="P28" s="1" t="s">
        <v>163</v>
      </c>
      <c r="Q28" s="1" t="s">
        <v>103</v>
      </c>
      <c r="R28" s="1" t="s">
        <v>82</v>
      </c>
      <c r="S28" s="43" t="s">
        <v>165</v>
      </c>
    </row>
    <row r="29" spans="1:19" x14ac:dyDescent="0.25">
      <c r="A29" s="1" t="s">
        <v>99</v>
      </c>
      <c r="B29" s="1" t="s">
        <v>85</v>
      </c>
      <c r="C29" s="1" t="s">
        <v>123</v>
      </c>
      <c r="D29" s="1" t="s">
        <v>101</v>
      </c>
      <c r="E29" s="1" t="s">
        <v>102</v>
      </c>
      <c r="H29" s="34"/>
      <c r="I29" s="19">
        <v>1</v>
      </c>
      <c r="J29" s="19" t="s">
        <v>146</v>
      </c>
      <c r="K29" s="19" t="s">
        <v>88</v>
      </c>
      <c r="L29" s="19" t="s">
        <v>116</v>
      </c>
      <c r="M29" s="19" t="s">
        <v>161</v>
      </c>
      <c r="N29" s="19"/>
      <c r="O29" s="19">
        <v>200</v>
      </c>
      <c r="P29" s="19">
        <v>5</v>
      </c>
      <c r="Q29" s="19">
        <f>IF(O29&lt;511,0,1)</f>
        <v>0</v>
      </c>
      <c r="R29" s="19">
        <f>IF(O29&lt;511-P29,O29+511,IF(O29&gt;511+P29,O29-512,0))</f>
        <v>711</v>
      </c>
      <c r="S29" s="44">
        <f>R29/511</f>
        <v>1.3913894324853229</v>
      </c>
    </row>
    <row r="30" spans="1:19" x14ac:dyDescent="0.25">
      <c r="B30" s="2" t="s">
        <v>86</v>
      </c>
      <c r="C30" s="2" t="s">
        <v>126</v>
      </c>
      <c r="D30" s="2" t="s">
        <v>90</v>
      </c>
      <c r="E30" s="2" t="s">
        <v>104</v>
      </c>
      <c r="H30" s="34"/>
      <c r="I30" s="19">
        <v>2</v>
      </c>
      <c r="J30" s="19" t="s">
        <v>147</v>
      </c>
      <c r="K30" s="19" t="s">
        <v>88</v>
      </c>
      <c r="L30" s="19" t="s">
        <v>116</v>
      </c>
      <c r="M30" s="19" t="s">
        <v>161</v>
      </c>
      <c r="N30" s="19"/>
      <c r="O30" s="19"/>
      <c r="P30" s="19"/>
      <c r="Q30" s="19"/>
      <c r="R30" s="19"/>
      <c r="S30" s="35"/>
    </row>
    <row r="31" spans="1:19" x14ac:dyDescent="0.25">
      <c r="H31" s="34"/>
      <c r="I31" s="19">
        <v>3</v>
      </c>
      <c r="J31" s="19" t="s">
        <v>148</v>
      </c>
      <c r="K31" s="19" t="s">
        <v>88</v>
      </c>
      <c r="L31" s="19" t="s">
        <v>116</v>
      </c>
      <c r="M31" s="19" t="s">
        <v>161</v>
      </c>
      <c r="N31" s="19"/>
      <c r="O31" s="19"/>
      <c r="P31" s="19"/>
      <c r="Q31" s="19"/>
      <c r="R31" s="19"/>
      <c r="S31" s="35"/>
    </row>
    <row r="32" spans="1:19" x14ac:dyDescent="0.25">
      <c r="A32" s="1" t="s">
        <v>100</v>
      </c>
      <c r="B32" s="1" t="s">
        <v>85</v>
      </c>
      <c r="C32" s="1" t="s">
        <v>123</v>
      </c>
      <c r="D32" s="1" t="s">
        <v>101</v>
      </c>
      <c r="E32" s="1" t="s">
        <v>102</v>
      </c>
      <c r="H32" s="34"/>
      <c r="I32" s="19">
        <v>4</v>
      </c>
      <c r="J32" s="19" t="s">
        <v>149</v>
      </c>
      <c r="K32" s="19" t="s">
        <v>86</v>
      </c>
      <c r="L32" s="19" t="s">
        <v>90</v>
      </c>
      <c r="M32" s="19"/>
      <c r="N32" s="19"/>
      <c r="O32" s="19"/>
      <c r="P32" s="19"/>
      <c r="Q32" s="19"/>
      <c r="R32" s="19"/>
      <c r="S32" s="35"/>
    </row>
    <row r="33" spans="1:19" x14ac:dyDescent="0.25">
      <c r="B33" s="2" t="s">
        <v>88</v>
      </c>
      <c r="C33" s="2" t="s">
        <v>124</v>
      </c>
      <c r="D33" s="2" t="s">
        <v>103</v>
      </c>
      <c r="E33" s="2" t="s">
        <v>98</v>
      </c>
      <c r="H33" s="34"/>
      <c r="I33" s="19">
        <v>5</v>
      </c>
      <c r="J33" s="19" t="s">
        <v>150</v>
      </c>
      <c r="K33" s="19" t="s">
        <v>86</v>
      </c>
      <c r="L33" s="19" t="s">
        <v>90</v>
      </c>
      <c r="M33" s="19"/>
      <c r="N33" s="19"/>
      <c r="O33" s="19"/>
      <c r="P33" s="19"/>
      <c r="Q33" s="19"/>
      <c r="R33" s="19"/>
      <c r="S33" s="35"/>
    </row>
    <row r="34" spans="1:19" x14ac:dyDescent="0.25">
      <c r="B34" s="2" t="s">
        <v>92</v>
      </c>
      <c r="C34" s="2" t="s">
        <v>125</v>
      </c>
      <c r="D34" s="2" t="s">
        <v>103</v>
      </c>
      <c r="E34" s="2" t="s">
        <v>98</v>
      </c>
      <c r="H34" s="34"/>
      <c r="I34" s="19">
        <v>6</v>
      </c>
      <c r="J34" s="19" t="s">
        <v>151</v>
      </c>
      <c r="K34" s="19" t="s">
        <v>86</v>
      </c>
      <c r="L34" s="19" t="s">
        <v>90</v>
      </c>
      <c r="M34" s="19"/>
      <c r="N34" s="19"/>
      <c r="O34" s="19"/>
      <c r="P34" s="19"/>
      <c r="Q34" s="19"/>
      <c r="R34" s="19"/>
      <c r="S34" s="35"/>
    </row>
    <row r="35" spans="1:19" x14ac:dyDescent="0.25">
      <c r="B35" s="2" t="s">
        <v>86</v>
      </c>
      <c r="C35" s="2" t="s">
        <v>127</v>
      </c>
      <c r="D35" s="2" t="s">
        <v>128</v>
      </c>
      <c r="E35" s="2" t="s">
        <v>104</v>
      </c>
      <c r="H35" s="34"/>
      <c r="I35" s="19">
        <v>7</v>
      </c>
      <c r="J35" s="19" t="s">
        <v>152</v>
      </c>
      <c r="K35" s="19" t="s">
        <v>86</v>
      </c>
      <c r="L35" s="19" t="s">
        <v>90</v>
      </c>
      <c r="M35" s="19"/>
      <c r="N35" s="19"/>
      <c r="O35" s="19"/>
      <c r="P35" s="19"/>
      <c r="Q35" s="19"/>
      <c r="R35" s="19"/>
      <c r="S35" s="35"/>
    </row>
    <row r="36" spans="1:19" x14ac:dyDescent="0.25">
      <c r="H36" s="34"/>
      <c r="I36" s="19">
        <v>8</v>
      </c>
      <c r="J36" s="19" t="s">
        <v>153</v>
      </c>
      <c r="K36" s="19" t="s">
        <v>86</v>
      </c>
      <c r="L36" s="19" t="s">
        <v>90</v>
      </c>
      <c r="M36" s="19"/>
      <c r="N36" s="19"/>
      <c r="O36" s="19"/>
      <c r="P36" s="19"/>
      <c r="Q36" s="19"/>
      <c r="R36" s="19"/>
      <c r="S36" s="35"/>
    </row>
    <row r="37" spans="1:19" x14ac:dyDescent="0.25">
      <c r="A37" s="1" t="s">
        <v>105</v>
      </c>
      <c r="B37" s="1" t="s">
        <v>85</v>
      </c>
      <c r="C37" s="1" t="s">
        <v>123</v>
      </c>
      <c r="D37" s="1" t="s">
        <v>101</v>
      </c>
      <c r="E37" s="1" t="s">
        <v>102</v>
      </c>
      <c r="H37" s="34"/>
      <c r="I37" s="19">
        <v>9</v>
      </c>
      <c r="J37" s="19" t="s">
        <v>154</v>
      </c>
      <c r="K37" s="19" t="s">
        <v>86</v>
      </c>
      <c r="L37" s="19" t="s">
        <v>90</v>
      </c>
      <c r="M37" s="19"/>
      <c r="N37" s="19"/>
      <c r="O37" s="19"/>
      <c r="P37" s="19"/>
      <c r="Q37" s="19"/>
      <c r="R37" s="19"/>
      <c r="S37" s="35"/>
    </row>
    <row r="38" spans="1:19" x14ac:dyDescent="0.25">
      <c r="B38" s="2" t="s">
        <v>86</v>
      </c>
      <c r="C38" s="2" t="s">
        <v>126</v>
      </c>
      <c r="D38" s="2" t="s">
        <v>90</v>
      </c>
      <c r="E38" s="2" t="s">
        <v>104</v>
      </c>
      <c r="H38" s="34"/>
      <c r="I38" s="19">
        <v>10</v>
      </c>
      <c r="J38" s="19" t="s">
        <v>155</v>
      </c>
      <c r="K38" s="19" t="s">
        <v>86</v>
      </c>
      <c r="L38" s="19" t="s">
        <v>90</v>
      </c>
      <c r="M38" s="19"/>
      <c r="N38" s="19"/>
      <c r="O38" s="19"/>
      <c r="P38" s="19"/>
      <c r="Q38" s="19"/>
      <c r="R38" s="19"/>
      <c r="S38" s="35"/>
    </row>
    <row r="39" spans="1:19" x14ac:dyDescent="0.25">
      <c r="H39" s="34"/>
      <c r="I39" s="19">
        <v>11</v>
      </c>
      <c r="J39" s="19" t="s">
        <v>156</v>
      </c>
      <c r="K39" s="19" t="s">
        <v>86</v>
      </c>
      <c r="L39" s="19" t="s">
        <v>90</v>
      </c>
      <c r="M39" s="19"/>
      <c r="N39" s="19"/>
      <c r="O39" s="19"/>
      <c r="P39" s="19"/>
      <c r="Q39" s="19"/>
      <c r="R39" s="19"/>
      <c r="S39" s="35"/>
    </row>
    <row r="40" spans="1:19" x14ac:dyDescent="0.25">
      <c r="H40" s="34"/>
      <c r="I40" s="19">
        <v>12</v>
      </c>
      <c r="J40" s="19" t="s">
        <v>157</v>
      </c>
      <c r="K40" s="19" t="s">
        <v>86</v>
      </c>
      <c r="L40" s="19" t="s">
        <v>90</v>
      </c>
      <c r="M40" s="19"/>
      <c r="N40" s="19"/>
      <c r="O40" s="19"/>
      <c r="P40" s="19"/>
      <c r="Q40" s="19"/>
      <c r="R40" s="19"/>
      <c r="S40" s="35"/>
    </row>
    <row r="41" spans="1:19" x14ac:dyDescent="0.25">
      <c r="H41" s="34"/>
      <c r="I41" s="19">
        <v>13</v>
      </c>
      <c r="J41" s="19" t="s">
        <v>158</v>
      </c>
      <c r="K41" s="19" t="s">
        <v>86</v>
      </c>
      <c r="L41" s="19" t="s">
        <v>90</v>
      </c>
      <c r="M41" s="19"/>
      <c r="N41" s="19"/>
      <c r="O41" s="19"/>
      <c r="P41" s="19"/>
      <c r="Q41" s="19"/>
      <c r="R41" s="19"/>
      <c r="S41" s="35"/>
    </row>
    <row r="42" spans="1:19" x14ac:dyDescent="0.25">
      <c r="H42" s="34"/>
      <c r="I42" s="19">
        <v>14</v>
      </c>
      <c r="J42" s="19" t="s">
        <v>159</v>
      </c>
      <c r="K42" s="19" t="s">
        <v>86</v>
      </c>
      <c r="L42" s="19" t="s">
        <v>90</v>
      </c>
      <c r="M42" s="19"/>
      <c r="N42" s="19"/>
      <c r="O42" s="19"/>
      <c r="P42" s="19"/>
      <c r="Q42" s="19"/>
      <c r="R42" s="19"/>
      <c r="S42" s="35"/>
    </row>
    <row r="43" spans="1:19" ht="15.75" thickBot="1" x14ac:dyDescent="0.3">
      <c r="H43" s="36"/>
      <c r="I43" s="37">
        <v>15</v>
      </c>
      <c r="J43" s="37" t="s">
        <v>160</v>
      </c>
      <c r="K43" s="37" t="s">
        <v>86</v>
      </c>
      <c r="L43" s="37" t="s">
        <v>90</v>
      </c>
      <c r="M43" s="37"/>
      <c r="N43" s="37"/>
      <c r="O43" s="37"/>
      <c r="P43" s="37"/>
      <c r="Q43" s="37"/>
      <c r="R43" s="37"/>
      <c r="S43" s="39"/>
    </row>
    <row r="44" spans="1:19" x14ac:dyDescent="0.25">
      <c r="I44" s="19"/>
    </row>
    <row r="46" spans="1:19" x14ac:dyDescent="0.25">
      <c r="H46" s="2" t="s">
        <v>370</v>
      </c>
      <c r="J46" s="128" t="s">
        <v>374</v>
      </c>
      <c r="K46" s="128"/>
      <c r="M46" s="128" t="s">
        <v>375</v>
      </c>
      <c r="N46" s="128"/>
    </row>
    <row r="47" spans="1:19" x14ac:dyDescent="0.25">
      <c r="H47" s="2" t="s">
        <v>372</v>
      </c>
      <c r="I47" s="88">
        <f>I48/10</f>
        <v>5500</v>
      </c>
      <c r="J47" s="2" t="s">
        <v>369</v>
      </c>
      <c r="K47" s="2" t="s">
        <v>73</v>
      </c>
      <c r="M47" s="2" t="s">
        <v>369</v>
      </c>
      <c r="N47" s="2" t="s">
        <v>73</v>
      </c>
    </row>
    <row r="48" spans="1:19" x14ac:dyDescent="0.25">
      <c r="H48" s="2" t="s">
        <v>371</v>
      </c>
      <c r="I48" s="88">
        <v>55000</v>
      </c>
      <c r="J48" s="2">
        <v>0</v>
      </c>
      <c r="K48" s="5">
        <f>I47</f>
        <v>5500</v>
      </c>
      <c r="M48" s="2">
        <v>0</v>
      </c>
      <c r="N48" s="5">
        <f>I48</f>
        <v>55000</v>
      </c>
    </row>
    <row r="49" spans="8:14" x14ac:dyDescent="0.25">
      <c r="H49" s="2" t="s">
        <v>30</v>
      </c>
      <c r="I49" s="2">
        <v>512</v>
      </c>
      <c r="J49" s="2">
        <v>512</v>
      </c>
      <c r="K49" s="2">
        <v>0</v>
      </c>
      <c r="M49" s="2">
        <v>512</v>
      </c>
      <c r="N49" s="2">
        <v>0</v>
      </c>
    </row>
    <row r="50" spans="8:14" x14ac:dyDescent="0.25">
      <c r="H50" s="2" t="s">
        <v>373</v>
      </c>
      <c r="I50" s="2">
        <v>5</v>
      </c>
      <c r="J50" s="2">
        <v>1024</v>
      </c>
      <c r="K50" s="5">
        <f>I47</f>
        <v>5500</v>
      </c>
      <c r="M50" s="2">
        <v>1024</v>
      </c>
      <c r="N50" s="5">
        <f>I48</f>
        <v>55000</v>
      </c>
    </row>
  </sheetData>
  <mergeCells count="2">
    <mergeCell ref="J46:K46"/>
    <mergeCell ref="M46:N46"/>
  </mergeCells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"/>
  <sheetViews>
    <sheetView zoomScale="115" zoomScaleNormal="115" workbookViewId="0">
      <selection activeCell="E13" sqref="E13"/>
    </sheetView>
  </sheetViews>
  <sheetFormatPr defaultRowHeight="15" x14ac:dyDescent="0.25"/>
  <cols>
    <col min="1" max="3" width="9.140625" style="2"/>
    <col min="4" max="4" width="29.28515625" style="2" customWidth="1"/>
    <col min="5" max="5" width="27.7109375" style="2" customWidth="1"/>
    <col min="6" max="16384" width="9.140625" style="2"/>
  </cols>
  <sheetData>
    <row r="3" spans="2:5" x14ac:dyDescent="0.25">
      <c r="D3" s="2" t="s">
        <v>197</v>
      </c>
      <c r="E3" s="2" t="s">
        <v>198</v>
      </c>
    </row>
    <row r="4" spans="2:5" x14ac:dyDescent="0.25">
      <c r="B4" s="2" t="s">
        <v>194</v>
      </c>
      <c r="D4" s="2">
        <v>0</v>
      </c>
      <c r="E4" s="2">
        <v>1024</v>
      </c>
    </row>
    <row r="5" spans="2:5" x14ac:dyDescent="0.25">
      <c r="B5" s="2" t="s">
        <v>195</v>
      </c>
      <c r="C5" s="2" t="s">
        <v>196</v>
      </c>
      <c r="D5" s="2">
        <v>350</v>
      </c>
      <c r="E5" s="2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"/>
  <sheetViews>
    <sheetView workbookViewId="0">
      <selection activeCell="N10" sqref="N10"/>
    </sheetView>
  </sheetViews>
  <sheetFormatPr defaultRowHeight="15" x14ac:dyDescent="0.25"/>
  <cols>
    <col min="3" max="3" width="11.5703125" customWidth="1"/>
    <col min="10" max="10" width="12.42578125" customWidth="1"/>
  </cols>
  <sheetData>
    <row r="2" spans="2:15" x14ac:dyDescent="0.25">
      <c r="B2" t="s">
        <v>47</v>
      </c>
      <c r="F2" t="s">
        <v>53</v>
      </c>
      <c r="J2" t="s">
        <v>54</v>
      </c>
      <c r="N2" t="s">
        <v>60</v>
      </c>
    </row>
    <row r="3" spans="2:15" x14ac:dyDescent="0.25">
      <c r="F3" t="s">
        <v>38</v>
      </c>
      <c r="G3">
        <v>5</v>
      </c>
      <c r="N3" t="s">
        <v>61</v>
      </c>
      <c r="O3">
        <v>504</v>
      </c>
    </row>
    <row r="4" spans="2:15" x14ac:dyDescent="0.25">
      <c r="B4" t="s">
        <v>40</v>
      </c>
      <c r="C4">
        <v>5.5</v>
      </c>
      <c r="F4" t="s">
        <v>50</v>
      </c>
      <c r="G4">
        <v>0.1</v>
      </c>
      <c r="J4" t="s">
        <v>55</v>
      </c>
      <c r="K4">
        <v>3.3</v>
      </c>
      <c r="N4" t="s">
        <v>63</v>
      </c>
      <c r="O4">
        <f>((O5-O3)/2)+O3</f>
        <v>756</v>
      </c>
    </row>
    <row r="5" spans="2:15" x14ac:dyDescent="0.25">
      <c r="B5" t="s">
        <v>48</v>
      </c>
      <c r="C5">
        <v>1000000</v>
      </c>
      <c r="F5" t="s">
        <v>41</v>
      </c>
      <c r="G5">
        <v>1.3</v>
      </c>
      <c r="J5" t="s">
        <v>56</v>
      </c>
      <c r="K5">
        <v>4096</v>
      </c>
      <c r="N5" t="s">
        <v>62</v>
      </c>
      <c r="O5">
        <v>1008</v>
      </c>
    </row>
    <row r="6" spans="2:15" x14ac:dyDescent="0.25">
      <c r="B6" t="s">
        <v>49</v>
      </c>
      <c r="C6" s="16">
        <f>C5/((C4/0.97)-1)</f>
        <v>214128.0353200883</v>
      </c>
      <c r="F6" t="s">
        <v>40</v>
      </c>
      <c r="G6">
        <f>G3-(G5*G4)</f>
        <v>4.87</v>
      </c>
      <c r="J6" t="s">
        <v>57</v>
      </c>
      <c r="K6">
        <f>K4/K5</f>
        <v>8.0566406249999996E-4</v>
      </c>
    </row>
    <row r="7" spans="2:15" x14ac:dyDescent="0.25">
      <c r="F7" t="s">
        <v>51</v>
      </c>
      <c r="G7">
        <f>G3-G6</f>
        <v>0.12999999999999989</v>
      </c>
      <c r="J7" t="s">
        <v>58</v>
      </c>
      <c r="K7">
        <v>1</v>
      </c>
    </row>
    <row r="8" spans="2:15" x14ac:dyDescent="0.25">
      <c r="F8" t="s">
        <v>52</v>
      </c>
      <c r="G8">
        <v>25</v>
      </c>
      <c r="H8">
        <f>G8*G7</f>
        <v>3.2499999999999973</v>
      </c>
      <c r="J8" t="s">
        <v>59</v>
      </c>
      <c r="K8" s="17">
        <f>K7/K6</f>
        <v>1241.2121212121212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7"/>
  <sheetViews>
    <sheetView topLeftCell="A19" workbookViewId="0">
      <selection activeCell="E44" sqref="E44"/>
    </sheetView>
  </sheetViews>
  <sheetFormatPr defaultRowHeight="15" x14ac:dyDescent="0.25"/>
  <cols>
    <col min="2" max="2" width="15.85546875" style="2" customWidth="1"/>
    <col min="3" max="3" width="13.140625" style="2" customWidth="1"/>
    <col min="9" max="10" width="12" customWidth="1"/>
    <col min="11" max="11" width="12.7109375" customWidth="1"/>
  </cols>
  <sheetData>
    <row r="3" spans="2:3" x14ac:dyDescent="0.25">
      <c r="B3" s="2" t="s">
        <v>17</v>
      </c>
      <c r="C3" s="2" t="s">
        <v>18</v>
      </c>
    </row>
    <row r="4" spans="2:3" x14ac:dyDescent="0.25">
      <c r="B4" s="2">
        <v>880</v>
      </c>
      <c r="C4" s="2">
        <v>3200</v>
      </c>
    </row>
    <row r="5" spans="2:3" x14ac:dyDescent="0.25">
      <c r="B5" s="2">
        <v>847</v>
      </c>
      <c r="C5" s="2">
        <v>3458</v>
      </c>
    </row>
    <row r="6" spans="2:3" x14ac:dyDescent="0.25">
      <c r="B6" s="2">
        <v>820</v>
      </c>
      <c r="C6" s="2">
        <v>3664</v>
      </c>
    </row>
    <row r="7" spans="2:3" x14ac:dyDescent="0.25">
      <c r="B7" s="2">
        <v>786</v>
      </c>
      <c r="C7" s="2">
        <v>3921</v>
      </c>
    </row>
    <row r="8" spans="2:3" x14ac:dyDescent="0.25">
      <c r="B8" s="2">
        <v>745</v>
      </c>
      <c r="C8" s="2">
        <v>4231</v>
      </c>
    </row>
    <row r="9" spans="2:3" x14ac:dyDescent="0.25">
      <c r="B9" s="2">
        <v>691</v>
      </c>
      <c r="C9" s="2">
        <v>4643</v>
      </c>
    </row>
    <row r="10" spans="2:3" x14ac:dyDescent="0.25">
      <c r="B10" s="2">
        <v>657</v>
      </c>
      <c r="C10" s="2">
        <v>4900</v>
      </c>
    </row>
    <row r="11" spans="2:3" x14ac:dyDescent="0.25">
      <c r="B11" s="2">
        <v>576</v>
      </c>
      <c r="C11" s="2">
        <v>5519</v>
      </c>
    </row>
    <row r="12" spans="2:3" x14ac:dyDescent="0.25">
      <c r="B12" s="2">
        <v>508</v>
      </c>
      <c r="C12" s="2">
        <v>6034</v>
      </c>
    </row>
    <row r="13" spans="2:3" x14ac:dyDescent="0.25">
      <c r="B13" s="2">
        <v>405</v>
      </c>
      <c r="C13" s="2">
        <v>6807</v>
      </c>
    </row>
    <row r="14" spans="2:3" x14ac:dyDescent="0.25">
      <c r="B14" s="2">
        <v>345</v>
      </c>
      <c r="C14" s="2">
        <v>7270</v>
      </c>
    </row>
    <row r="15" spans="2:3" x14ac:dyDescent="0.25">
      <c r="B15" s="2">
        <v>292</v>
      </c>
      <c r="C15" s="2">
        <v>7683</v>
      </c>
    </row>
    <row r="16" spans="2:3" x14ac:dyDescent="0.25">
      <c r="B16" s="2">
        <v>257</v>
      </c>
      <c r="C16" s="2">
        <v>7940</v>
      </c>
    </row>
    <row r="17" spans="2:16" x14ac:dyDescent="0.25">
      <c r="B17" s="2">
        <v>224</v>
      </c>
      <c r="C17" s="2">
        <v>8198</v>
      </c>
    </row>
    <row r="18" spans="2:16" x14ac:dyDescent="0.25">
      <c r="B18" s="2">
        <v>210</v>
      </c>
      <c r="C18" s="2">
        <v>8301</v>
      </c>
    </row>
    <row r="25" spans="2:16" x14ac:dyDescent="0.25">
      <c r="B25" s="2" t="s">
        <v>19</v>
      </c>
    </row>
    <row r="26" spans="2:16" x14ac:dyDescent="0.25">
      <c r="B26" s="2" t="s">
        <v>28</v>
      </c>
      <c r="C26" s="15">
        <v>16630000</v>
      </c>
      <c r="H26" t="s">
        <v>31</v>
      </c>
    </row>
    <row r="27" spans="2:16" x14ac:dyDescent="0.25">
      <c r="B27" s="2" t="s">
        <v>20</v>
      </c>
      <c r="C27" s="15">
        <f>C26/32</f>
        <v>519687.5</v>
      </c>
      <c r="H27" t="s">
        <v>33</v>
      </c>
      <c r="I27" t="s">
        <v>32</v>
      </c>
      <c r="J27" t="s">
        <v>34</v>
      </c>
      <c r="K27" t="s">
        <v>35</v>
      </c>
      <c r="M27" t="s">
        <v>36</v>
      </c>
      <c r="N27" t="s">
        <v>32</v>
      </c>
      <c r="O27" t="s">
        <v>34</v>
      </c>
    </row>
    <row r="28" spans="2:16" x14ac:dyDescent="0.25">
      <c r="B28" s="2" t="s">
        <v>21</v>
      </c>
      <c r="C28" s="2">
        <f>1000000/C27</f>
        <v>1.9242333132892364</v>
      </c>
      <c r="H28">
        <v>0</v>
      </c>
      <c r="I28">
        <v>0</v>
      </c>
      <c r="J28">
        <v>0</v>
      </c>
      <c r="K28">
        <f>J28*4+I28</f>
        <v>0</v>
      </c>
      <c r="M28">
        <v>0</v>
      </c>
      <c r="N28">
        <v>0</v>
      </c>
      <c r="O28">
        <v>0</v>
      </c>
      <c r="P28">
        <f t="shared" ref="P28:P39" si="0">O28*12+N28*3</f>
        <v>0</v>
      </c>
    </row>
    <row r="29" spans="2:16" x14ac:dyDescent="0.25">
      <c r="C29" s="6"/>
      <c r="H29">
        <v>1</v>
      </c>
      <c r="I29">
        <v>1</v>
      </c>
      <c r="J29">
        <v>0</v>
      </c>
      <c r="K29">
        <f t="shared" ref="K29:K39" si="1">J29*4+I29</f>
        <v>1</v>
      </c>
      <c r="M29">
        <v>3</v>
      </c>
      <c r="N29">
        <v>1</v>
      </c>
      <c r="O29">
        <v>0</v>
      </c>
      <c r="P29">
        <f t="shared" si="0"/>
        <v>3</v>
      </c>
    </row>
    <row r="30" spans="2:16" x14ac:dyDescent="0.25">
      <c r="B30" s="2" t="s">
        <v>22</v>
      </c>
      <c r="C30" s="2">
        <v>20</v>
      </c>
      <c r="H30">
        <v>2</v>
      </c>
      <c r="I30">
        <v>2</v>
      </c>
      <c r="J30">
        <v>0</v>
      </c>
      <c r="K30">
        <f t="shared" si="1"/>
        <v>2</v>
      </c>
      <c r="M30">
        <v>6</v>
      </c>
      <c r="N30">
        <v>2</v>
      </c>
      <c r="O30">
        <v>0</v>
      </c>
      <c r="P30">
        <f t="shared" si="0"/>
        <v>6</v>
      </c>
    </row>
    <row r="31" spans="2:16" x14ac:dyDescent="0.25">
      <c r="B31" s="2" t="s">
        <v>23</v>
      </c>
      <c r="C31" s="4">
        <f>C30*1000</f>
        <v>20000</v>
      </c>
      <c r="H31">
        <v>3</v>
      </c>
      <c r="I31">
        <v>3</v>
      </c>
      <c r="J31">
        <v>0</v>
      </c>
      <c r="K31">
        <f t="shared" si="1"/>
        <v>3</v>
      </c>
      <c r="M31">
        <v>9</v>
      </c>
      <c r="N31">
        <v>3</v>
      </c>
      <c r="O31">
        <v>0</v>
      </c>
      <c r="P31">
        <f t="shared" si="0"/>
        <v>9</v>
      </c>
    </row>
    <row r="32" spans="2:16" x14ac:dyDescent="0.25">
      <c r="B32" s="2" t="s">
        <v>29</v>
      </c>
      <c r="C32" s="4">
        <f>1000/C30</f>
        <v>50</v>
      </c>
      <c r="H32">
        <v>4</v>
      </c>
      <c r="I32">
        <v>0</v>
      </c>
      <c r="J32">
        <v>1</v>
      </c>
      <c r="K32">
        <f t="shared" si="1"/>
        <v>4</v>
      </c>
      <c r="M32">
        <v>12</v>
      </c>
      <c r="N32">
        <v>0</v>
      </c>
      <c r="O32">
        <v>1</v>
      </c>
      <c r="P32">
        <f t="shared" si="0"/>
        <v>12</v>
      </c>
    </row>
    <row r="33" spans="2:16" x14ac:dyDescent="0.25">
      <c r="B33" s="2" t="s">
        <v>24</v>
      </c>
      <c r="C33" s="4">
        <f>C31/C28</f>
        <v>10393.75</v>
      </c>
      <c r="H33">
        <v>5</v>
      </c>
      <c r="I33">
        <v>1</v>
      </c>
      <c r="J33">
        <v>1</v>
      </c>
      <c r="K33">
        <f t="shared" si="1"/>
        <v>5</v>
      </c>
      <c r="M33">
        <v>15</v>
      </c>
      <c r="N33">
        <v>1</v>
      </c>
      <c r="O33">
        <v>1</v>
      </c>
      <c r="P33">
        <f t="shared" si="0"/>
        <v>15</v>
      </c>
    </row>
    <row r="34" spans="2:16" x14ac:dyDescent="0.25">
      <c r="B34" s="2" t="s">
        <v>25</v>
      </c>
      <c r="C34" s="4">
        <f>(1/C28)*1000</f>
        <v>519.6875</v>
      </c>
      <c r="H34">
        <v>6</v>
      </c>
      <c r="I34">
        <v>2</v>
      </c>
      <c r="J34">
        <v>1</v>
      </c>
      <c r="K34">
        <f t="shared" si="1"/>
        <v>6</v>
      </c>
      <c r="M34">
        <v>18</v>
      </c>
      <c r="N34">
        <v>2</v>
      </c>
      <c r="O34">
        <v>1</v>
      </c>
      <c r="P34">
        <f t="shared" si="0"/>
        <v>18</v>
      </c>
    </row>
    <row r="35" spans="2:16" x14ac:dyDescent="0.25">
      <c r="B35" s="2" t="s">
        <v>26</v>
      </c>
      <c r="C35" s="4">
        <f>2*C34</f>
        <v>1039.375</v>
      </c>
      <c r="H35">
        <v>7</v>
      </c>
      <c r="I35">
        <v>3</v>
      </c>
      <c r="J35">
        <v>1</v>
      </c>
      <c r="K35">
        <f t="shared" si="1"/>
        <v>7</v>
      </c>
      <c r="M35">
        <v>21</v>
      </c>
      <c r="N35">
        <v>3</v>
      </c>
      <c r="O35">
        <v>1</v>
      </c>
      <c r="P35">
        <f t="shared" si="0"/>
        <v>21</v>
      </c>
    </row>
    <row r="36" spans="2:16" x14ac:dyDescent="0.25">
      <c r="B36" s="2" t="s">
        <v>27</v>
      </c>
      <c r="C36" s="5">
        <f>C35-C34</f>
        <v>519.6875</v>
      </c>
      <c r="H36">
        <v>8</v>
      </c>
      <c r="I36">
        <v>0</v>
      </c>
      <c r="J36">
        <v>2</v>
      </c>
      <c r="K36">
        <f t="shared" si="1"/>
        <v>8</v>
      </c>
      <c r="M36">
        <v>24</v>
      </c>
      <c r="N36">
        <v>0</v>
      </c>
      <c r="O36">
        <v>2</v>
      </c>
      <c r="P36">
        <f t="shared" si="0"/>
        <v>24</v>
      </c>
    </row>
    <row r="37" spans="2:16" x14ac:dyDescent="0.25">
      <c r="B37" s="2" t="s">
        <v>30</v>
      </c>
      <c r="C37" s="6">
        <f>C34+((C35-C34)/2)</f>
        <v>779.53125</v>
      </c>
      <c r="H37">
        <v>9</v>
      </c>
      <c r="I37">
        <v>1</v>
      </c>
      <c r="J37">
        <v>2</v>
      </c>
      <c r="K37">
        <f t="shared" si="1"/>
        <v>9</v>
      </c>
      <c r="M37">
        <v>27</v>
      </c>
      <c r="N37">
        <v>1</v>
      </c>
      <c r="O37">
        <v>2</v>
      </c>
      <c r="P37">
        <f t="shared" si="0"/>
        <v>27</v>
      </c>
    </row>
    <row r="38" spans="2:16" x14ac:dyDescent="0.25">
      <c r="H38">
        <v>10</v>
      </c>
      <c r="I38">
        <v>2</v>
      </c>
      <c r="J38">
        <v>2</v>
      </c>
      <c r="K38">
        <f t="shared" si="1"/>
        <v>10</v>
      </c>
      <c r="M38">
        <v>30</v>
      </c>
      <c r="N38">
        <v>2</v>
      </c>
      <c r="O38">
        <v>2</v>
      </c>
      <c r="P38">
        <f t="shared" si="0"/>
        <v>30</v>
      </c>
    </row>
    <row r="39" spans="2:16" x14ac:dyDescent="0.25">
      <c r="H39">
        <v>11</v>
      </c>
      <c r="I39">
        <v>3</v>
      </c>
      <c r="J39">
        <v>2</v>
      </c>
      <c r="K39">
        <f t="shared" si="1"/>
        <v>11</v>
      </c>
      <c r="M39">
        <v>33</v>
      </c>
      <c r="N39">
        <v>3</v>
      </c>
      <c r="O39">
        <v>2</v>
      </c>
      <c r="P39">
        <f t="shared" si="0"/>
        <v>33</v>
      </c>
    </row>
    <row r="41" spans="2:16" x14ac:dyDescent="0.25">
      <c r="I41" t="s">
        <v>45</v>
      </c>
      <c r="J41" t="s">
        <v>46</v>
      </c>
    </row>
    <row r="42" spans="2:16" x14ac:dyDescent="0.25">
      <c r="D42" t="s">
        <v>37</v>
      </c>
      <c r="H42" t="s">
        <v>43</v>
      </c>
      <c r="I42">
        <v>700</v>
      </c>
      <c r="J42">
        <v>700</v>
      </c>
    </row>
    <row r="43" spans="2:16" x14ac:dyDescent="0.25">
      <c r="D43" t="s">
        <v>38</v>
      </c>
      <c r="E43">
        <v>5</v>
      </c>
      <c r="H43" t="s">
        <v>44</v>
      </c>
      <c r="I43">
        <f>1/(I42*2*PI()*160000)</f>
        <v>1.4210262776062084E-9</v>
      </c>
      <c r="J43">
        <f>1/(J42*2*PI()*5000)</f>
        <v>4.5472840883398667E-8</v>
      </c>
    </row>
    <row r="44" spans="2:16" x14ac:dyDescent="0.25">
      <c r="D44" t="s">
        <v>39</v>
      </c>
      <c r="E44">
        <v>5</v>
      </c>
    </row>
    <row r="45" spans="2:16" x14ac:dyDescent="0.25">
      <c r="D45" t="s">
        <v>41</v>
      </c>
      <c r="E45">
        <v>0.3</v>
      </c>
    </row>
    <row r="46" spans="2:16" x14ac:dyDescent="0.25">
      <c r="D46" t="s">
        <v>40</v>
      </c>
      <c r="E46">
        <f>E45*E44-E43</f>
        <v>-3.5</v>
      </c>
    </row>
    <row r="47" spans="2:16" x14ac:dyDescent="0.25">
      <c r="D47" t="s">
        <v>42</v>
      </c>
      <c r="E47">
        <f>E46*80</f>
        <v>-280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5" sqref="C5"/>
    </sheetView>
  </sheetViews>
  <sheetFormatPr defaultRowHeight="15" x14ac:dyDescent="0.25"/>
  <cols>
    <col min="2" max="2" width="18.28515625" customWidth="1"/>
    <col min="3" max="3" width="12.28515625" customWidth="1"/>
  </cols>
  <sheetData>
    <row r="2" spans="2:3" x14ac:dyDescent="0.25">
      <c r="B2" t="s">
        <v>200</v>
      </c>
    </row>
    <row r="3" spans="2:3" x14ac:dyDescent="0.25">
      <c r="B3" t="s">
        <v>355</v>
      </c>
    </row>
    <row r="4" spans="2:3" x14ac:dyDescent="0.25">
      <c r="B4" t="s">
        <v>38</v>
      </c>
      <c r="C4">
        <v>3.3</v>
      </c>
    </row>
    <row r="5" spans="2:3" x14ac:dyDescent="0.25">
      <c r="B5" t="s">
        <v>204</v>
      </c>
      <c r="C5">
        <v>511</v>
      </c>
    </row>
    <row r="6" spans="2:3" x14ac:dyDescent="0.25">
      <c r="B6" t="s">
        <v>205</v>
      </c>
      <c r="C6">
        <v>1000</v>
      </c>
    </row>
    <row r="7" spans="2:3" x14ac:dyDescent="0.25">
      <c r="B7" t="s">
        <v>40</v>
      </c>
      <c r="C7">
        <f>Vin*(1+(_R1__k/_R2__k))</f>
        <v>4.9863</v>
      </c>
    </row>
    <row r="10" spans="2:3" x14ac:dyDescent="0.25">
      <c r="B10" t="s">
        <v>201</v>
      </c>
      <c r="C10">
        <v>10</v>
      </c>
    </row>
    <row r="11" spans="2:3" x14ac:dyDescent="0.25">
      <c r="B11" t="s">
        <v>202</v>
      </c>
      <c r="C11">
        <f>2^C10</f>
        <v>1024</v>
      </c>
    </row>
    <row r="12" spans="2:3" x14ac:dyDescent="0.25">
      <c r="B12" t="s">
        <v>203</v>
      </c>
      <c r="C12" s="51">
        <f>(C7/C11)*1000</f>
        <v>4.8694335937500002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3"/>
  <sheetViews>
    <sheetView workbookViewId="0">
      <selection activeCell="O37" sqref="O37"/>
    </sheetView>
  </sheetViews>
  <sheetFormatPr defaultRowHeight="15" x14ac:dyDescent="0.25"/>
  <cols>
    <col min="3" max="3" width="13.5703125" customWidth="1"/>
    <col min="4" max="4" width="9.5703125" customWidth="1"/>
  </cols>
  <sheetData>
    <row r="3" spans="3:4" x14ac:dyDescent="0.25">
      <c r="C3" t="s">
        <v>208</v>
      </c>
    </row>
    <row r="4" spans="3:4" x14ac:dyDescent="0.25">
      <c r="C4" t="s">
        <v>209</v>
      </c>
    </row>
    <row r="5" spans="3:4" x14ac:dyDescent="0.25">
      <c r="C5" t="s">
        <v>210</v>
      </c>
    </row>
    <row r="6" spans="3:4" x14ac:dyDescent="0.25">
      <c r="C6" t="s">
        <v>215</v>
      </c>
    </row>
    <row r="7" spans="3:4" x14ac:dyDescent="0.25">
      <c r="C7" t="s">
        <v>216</v>
      </c>
    </row>
    <row r="9" spans="3:4" x14ac:dyDescent="0.25">
      <c r="C9" t="s">
        <v>212</v>
      </c>
      <c r="D9" s="52">
        <v>4.6999999999999997E-5</v>
      </c>
    </row>
    <row r="10" spans="3:4" x14ac:dyDescent="0.25">
      <c r="C10" t="s">
        <v>213</v>
      </c>
      <c r="D10" s="52">
        <v>1.0000000000000001E-5</v>
      </c>
    </row>
    <row r="12" spans="3:4" x14ac:dyDescent="0.25">
      <c r="C12" t="s">
        <v>211</v>
      </c>
      <c r="D12" s="16">
        <f>1/(2*PI()^2*SQRT(D9*D10))</f>
        <v>2336.7988486120594</v>
      </c>
    </row>
    <row r="13" spans="3:4" x14ac:dyDescent="0.25">
      <c r="C13" t="s">
        <v>214</v>
      </c>
      <c r="D13">
        <f>SQRT(D9/D10)</f>
        <v>2.16794833886788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>
      <selection activeCell="E18" sqref="E18"/>
    </sheetView>
  </sheetViews>
  <sheetFormatPr defaultRowHeight="15" x14ac:dyDescent="0.25"/>
  <cols>
    <col min="2" max="2" width="12.42578125" customWidth="1"/>
    <col min="3" max="3" width="9.5703125" bestFit="1" customWidth="1"/>
  </cols>
  <sheetData>
    <row r="1" spans="2:13" x14ac:dyDescent="0.25">
      <c r="B1" t="s">
        <v>341</v>
      </c>
      <c r="G1" t="s">
        <v>342</v>
      </c>
      <c r="L1" t="s">
        <v>347</v>
      </c>
    </row>
    <row r="3" spans="2:13" x14ac:dyDescent="0.25">
      <c r="B3" t="s">
        <v>343</v>
      </c>
      <c r="C3" s="63">
        <v>634000</v>
      </c>
      <c r="G3" t="s">
        <v>344</v>
      </c>
      <c r="H3" s="63">
        <v>6650</v>
      </c>
      <c r="L3" t="s">
        <v>344</v>
      </c>
      <c r="M3" s="63">
        <v>360</v>
      </c>
    </row>
    <row r="4" spans="2:13" x14ac:dyDescent="0.25">
      <c r="B4" t="s">
        <v>345</v>
      </c>
      <c r="C4" s="63">
        <v>35700</v>
      </c>
      <c r="G4" t="s">
        <v>346</v>
      </c>
      <c r="H4" s="63">
        <v>274</v>
      </c>
      <c r="L4" t="s">
        <v>346</v>
      </c>
      <c r="M4" s="63">
        <v>20</v>
      </c>
    </row>
    <row r="6" spans="2:13" x14ac:dyDescent="0.25">
      <c r="B6" t="s">
        <v>40</v>
      </c>
      <c r="C6">
        <f>0.8*(1+(C3/C4))</f>
        <v>15.007282913165268</v>
      </c>
      <c r="G6" t="s">
        <v>40</v>
      </c>
      <c r="H6">
        <f>0.6*(1+(H3/H4))</f>
        <v>15.162043795620438</v>
      </c>
      <c r="L6" t="s">
        <v>40</v>
      </c>
      <c r="M6">
        <f>0.789*(1+(M3/M4))</f>
        <v>14.991000000000001</v>
      </c>
    </row>
    <row r="13" spans="2:13" x14ac:dyDescent="0.25">
      <c r="B13" s="126" t="s">
        <v>450</v>
      </c>
    </row>
    <row r="14" spans="2:13" x14ac:dyDescent="0.25">
      <c r="B14" s="126" t="s">
        <v>40</v>
      </c>
      <c r="C14" s="62">
        <v>10.7</v>
      </c>
    </row>
    <row r="15" spans="2:13" x14ac:dyDescent="0.25">
      <c r="B15" s="126" t="s">
        <v>383</v>
      </c>
      <c r="C15">
        <v>1.25</v>
      </c>
    </row>
    <row r="16" spans="2:13" x14ac:dyDescent="0.25">
      <c r="B16" t="s">
        <v>48</v>
      </c>
      <c r="C16">
        <v>240</v>
      </c>
    </row>
    <row r="17" spans="2:3" x14ac:dyDescent="0.25">
      <c r="B17" t="s">
        <v>49</v>
      </c>
      <c r="C17" s="127">
        <f>C16*((C14/C15)-1)</f>
        <v>1814.3999999999996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workbookViewId="0">
      <selection activeCell="C7" sqref="C7"/>
    </sheetView>
  </sheetViews>
  <sheetFormatPr defaultRowHeight="15" x14ac:dyDescent="0.25"/>
  <cols>
    <col min="7" max="7" width="10.5703125" bestFit="1" customWidth="1"/>
  </cols>
  <sheetData>
    <row r="2" spans="2:7" x14ac:dyDescent="0.25">
      <c r="B2" t="s">
        <v>347</v>
      </c>
      <c r="C2" t="s">
        <v>348</v>
      </c>
      <c r="F2" t="s">
        <v>349</v>
      </c>
    </row>
    <row r="4" spans="2:7" x14ac:dyDescent="0.25">
      <c r="B4" t="s">
        <v>344</v>
      </c>
      <c r="C4" s="63">
        <v>324</v>
      </c>
      <c r="F4" t="s">
        <v>350</v>
      </c>
      <c r="G4">
        <f>C7</f>
        <v>13.5708</v>
      </c>
    </row>
    <row r="5" spans="2:7" x14ac:dyDescent="0.25">
      <c r="B5" t="s">
        <v>346</v>
      </c>
      <c r="C5" s="63">
        <v>20</v>
      </c>
      <c r="F5" t="s">
        <v>351</v>
      </c>
      <c r="G5" s="80">
        <v>0.2</v>
      </c>
    </row>
    <row r="7" spans="2:7" x14ac:dyDescent="0.25">
      <c r="B7" t="s">
        <v>40</v>
      </c>
      <c r="C7">
        <f>0.789*(1+(C4/C5))</f>
        <v>13.5708</v>
      </c>
      <c r="F7" t="s">
        <v>352</v>
      </c>
      <c r="G7" s="16">
        <f>400*(G4/G5)</f>
        <v>27141.599999999999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15</vt:i4>
      </vt:variant>
    </vt:vector>
  </HeadingPairs>
  <TitlesOfParts>
    <vt:vector size="34" baseType="lpstr">
      <vt:lpstr>Stepper Card</vt:lpstr>
      <vt:lpstr>Sheet1</vt:lpstr>
      <vt:lpstr>Atmel</vt:lpstr>
      <vt:lpstr>ADC</vt:lpstr>
      <vt:lpstr>Fan speed controller</vt:lpstr>
      <vt:lpstr>L6470</vt:lpstr>
      <vt:lpstr>Virtual move</vt:lpstr>
      <vt:lpstr>Galvo Res</vt:lpstr>
      <vt:lpstr>PCB</vt:lpstr>
      <vt:lpstr>Objective Changer</vt:lpstr>
      <vt:lpstr>Power</vt:lpstr>
      <vt:lpstr>Joysitcks</vt:lpstr>
      <vt:lpstr>3D joystick</vt:lpstr>
      <vt:lpstr>USB</vt:lpstr>
      <vt:lpstr>Hobby Servo</vt:lpstr>
      <vt:lpstr>OpAmp</vt:lpstr>
      <vt:lpstr>Filters</vt:lpstr>
      <vt:lpstr>DC_DC Converters</vt:lpstr>
      <vt:lpstr>Line Drver</vt:lpstr>
      <vt:lpstr>_R1__k</vt:lpstr>
      <vt:lpstr>_R2__k</vt:lpstr>
      <vt:lpstr>center</vt:lpstr>
      <vt:lpstr>MAX_SPEED</vt:lpstr>
      <vt:lpstr>max_speed_div</vt:lpstr>
      <vt:lpstr>MAX_SPEEP</vt:lpstr>
      <vt:lpstr>Max_val</vt:lpstr>
      <vt:lpstr>Multiple</vt:lpstr>
      <vt:lpstr>nanos_npc</vt:lpstr>
      <vt:lpstr>nanos_spe</vt:lpstr>
      <vt:lpstr>Rd2_</vt:lpstr>
      <vt:lpstr>speed_knob</vt:lpstr>
      <vt:lpstr>Tick_ns</vt:lpstr>
      <vt:lpstr>Vin</vt:lpstr>
      <vt:lpstr>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2017-11-17T19:03:13Z</dcterms:modified>
</cp:coreProperties>
</file>